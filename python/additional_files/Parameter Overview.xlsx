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Yuma\iCloudDrive\Studium\Master\Master Thesis\Biofermentation Simulation Application\New approach\"/>
    </mc:Choice>
  </mc:AlternateContent>
  <xr:revisionPtr revIDLastSave="0" documentId="13_ncr:1_{C2986C73-93DE-4377-9B5A-A501A402F098}" xr6:coauthVersionLast="47" xr6:coauthVersionMax="47" xr10:uidLastSave="{00000000-0000-0000-0000-000000000000}"/>
  <bookViews>
    <workbookView xWindow="-28920" yWindow="-120" windowWidth="29040" windowHeight="15840" firstSheet="6" activeTab="8" xr2:uid="{00000000-000D-0000-FFFF-FFFF00000000}"/>
  </bookViews>
  <sheets>
    <sheet name="process" sheetId="1" r:id="rId1"/>
    <sheet name="general" sheetId="5" r:id="rId2"/>
    <sheet name="bioreactors" sheetId="2" r:id="rId3"/>
    <sheet name="organisms" sheetId="3" r:id="rId4"/>
    <sheet name="BBI_ED" sheetId="7" r:id="rId5"/>
    <sheet name="Model Properties" sheetId="10" r:id="rId6"/>
    <sheet name="Modes" sheetId="19" r:id="rId7"/>
    <sheet name="Assisting properties" sheetId="18" r:id="rId8"/>
    <sheet name="all variables" sheetId="13" r:id="rId9"/>
    <sheet name="CategoryTab" sheetId="16" r:id="rId10"/>
    <sheet name="Bacillus properties" sheetId="11" r:id="rId11"/>
    <sheet name="Process Tables" sheetId="15" r:id="rId12"/>
    <sheet name="Plot Variables" sheetId="9" r:id="rId13"/>
    <sheet name="variable_handling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3" l="1"/>
  <c r="Q84" i="13"/>
  <c r="V84" i="13"/>
  <c r="Q81" i="13"/>
  <c r="Q82" i="13"/>
  <c r="Q83" i="13"/>
  <c r="V81" i="13"/>
  <c r="V82" i="13"/>
  <c r="V83" i="13"/>
  <c r="H83" i="13"/>
  <c r="H82" i="13"/>
  <c r="H81" i="13"/>
  <c r="I322" i="10"/>
  <c r="K322" i="10"/>
  <c r="P322" i="10"/>
  <c r="I321" i="10"/>
  <c r="K321" i="10"/>
  <c r="P321" i="10"/>
  <c r="I320" i="10"/>
  <c r="K320" i="10"/>
  <c r="P320" i="10"/>
  <c r="I319" i="10"/>
  <c r="K319" i="10"/>
  <c r="P319" i="10"/>
  <c r="I318" i="10"/>
  <c r="K318" i="10"/>
  <c r="P318" i="10"/>
  <c r="I317" i="10"/>
  <c r="K317" i="10"/>
  <c r="P317" i="10"/>
  <c r="I316" i="10"/>
  <c r="K316" i="10"/>
  <c r="P316" i="10"/>
  <c r="I315" i="10"/>
  <c r="K315" i="10"/>
  <c r="P315" i="10"/>
  <c r="I314" i="10"/>
  <c r="K314" i="10"/>
  <c r="P314" i="10"/>
  <c r="I213" i="10"/>
  <c r="K213" i="10"/>
  <c r="P213" i="10"/>
  <c r="I211" i="10"/>
  <c r="K211" i="10"/>
  <c r="P211" i="10"/>
  <c r="I209" i="10"/>
  <c r="K209" i="10"/>
  <c r="P209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10" i="10"/>
  <c r="P212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10" i="10"/>
  <c r="K212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I155" i="10"/>
  <c r="I156" i="10"/>
  <c r="I157" i="10"/>
  <c r="I158" i="10"/>
  <c r="I159" i="10"/>
  <c r="I160" i="10"/>
  <c r="I161" i="10"/>
  <c r="I162" i="10"/>
  <c r="I3" i="10"/>
  <c r="I163" i="10"/>
  <c r="I164" i="10"/>
  <c r="I165" i="10"/>
  <c r="I166" i="10"/>
  <c r="I167" i="10"/>
  <c r="I168" i="10"/>
  <c r="I169" i="10"/>
  <c r="I170" i="10"/>
  <c r="I171" i="10"/>
  <c r="I172" i="10"/>
  <c r="I4" i="10"/>
  <c r="I173" i="10"/>
  <c r="I174" i="10"/>
  <c r="I175" i="10"/>
  <c r="I176" i="10"/>
  <c r="I177" i="10"/>
  <c r="I178" i="10"/>
  <c r="I179" i="10"/>
  <c r="I180" i="10"/>
  <c r="I181" i="10"/>
  <c r="I182" i="10"/>
  <c r="I5" i="10"/>
  <c r="I183" i="10"/>
  <c r="I184" i="10"/>
  <c r="I185" i="10"/>
  <c r="I6" i="10"/>
  <c r="I7" i="10"/>
  <c r="I8" i="10"/>
  <c r="I9" i="10"/>
  <c r="I10" i="10"/>
  <c r="I11" i="10"/>
  <c r="I12" i="10"/>
  <c r="I186" i="10"/>
  <c r="I187" i="10"/>
  <c r="I188" i="10"/>
  <c r="I189" i="10"/>
  <c r="I190" i="10"/>
  <c r="I191" i="10"/>
  <c r="I192" i="10"/>
  <c r="I193" i="10"/>
  <c r="I194" i="10"/>
  <c r="I13" i="10"/>
  <c r="I195" i="10"/>
  <c r="I196" i="10"/>
  <c r="I197" i="10"/>
  <c r="I198" i="10"/>
  <c r="I199" i="10"/>
  <c r="I200" i="10"/>
  <c r="I201" i="10"/>
  <c r="I202" i="10"/>
  <c r="I203" i="10"/>
  <c r="I204" i="10"/>
  <c r="I14" i="10"/>
  <c r="I205" i="10"/>
  <c r="I206" i="10"/>
  <c r="I207" i="10"/>
  <c r="I208" i="10"/>
  <c r="I210" i="10"/>
  <c r="I212" i="10"/>
  <c r="I214" i="10"/>
  <c r="I215" i="10"/>
  <c r="I216" i="10"/>
  <c r="I217" i="10"/>
  <c r="I15" i="10"/>
  <c r="I218" i="10"/>
  <c r="I219" i="10"/>
  <c r="I16" i="10"/>
  <c r="I17" i="10"/>
  <c r="I18" i="10"/>
  <c r="I19" i="10"/>
  <c r="I20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Q39" i="13"/>
  <c r="Q38" i="13"/>
  <c r="H38" i="13"/>
  <c r="H39" i="13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6" i="13"/>
  <c r="H57" i="13"/>
  <c r="H58" i="13"/>
  <c r="H59" i="13"/>
  <c r="H60" i="13"/>
  <c r="H61" i="13"/>
  <c r="H53" i="13"/>
  <c r="H54" i="13"/>
  <c r="H55" i="13"/>
  <c r="H62" i="13"/>
  <c r="H63" i="13"/>
  <c r="H64" i="13"/>
  <c r="H65" i="13"/>
  <c r="H66" i="13"/>
  <c r="H67" i="13"/>
  <c r="H73" i="13"/>
  <c r="H68" i="13"/>
  <c r="H69" i="13"/>
  <c r="H70" i="13"/>
  <c r="H71" i="13"/>
  <c r="H72" i="13"/>
  <c r="H74" i="13"/>
  <c r="H75" i="13"/>
  <c r="H76" i="13"/>
  <c r="H77" i="13"/>
  <c r="H78" i="13"/>
  <c r="H79" i="13"/>
  <c r="H80" i="13"/>
  <c r="V80" i="13"/>
  <c r="V79" i="13"/>
  <c r="V78" i="13"/>
  <c r="V77" i="13"/>
  <c r="V76" i="13"/>
  <c r="V75" i="13"/>
  <c r="V74" i="13"/>
  <c r="V72" i="13"/>
  <c r="V71" i="13"/>
  <c r="V70" i="13"/>
  <c r="V69" i="13"/>
  <c r="V68" i="13"/>
  <c r="V73" i="13"/>
  <c r="V67" i="13"/>
  <c r="V66" i="13"/>
  <c r="V65" i="13"/>
  <c r="V64" i="13"/>
  <c r="V63" i="13"/>
  <c r="V62" i="13"/>
  <c r="V55" i="13"/>
  <c r="V54" i="13"/>
  <c r="V53" i="13"/>
  <c r="V61" i="13"/>
  <c r="V60" i="13"/>
  <c r="V59" i="13"/>
  <c r="V58" i="13"/>
  <c r="V57" i="13"/>
  <c r="V56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V3" i="13"/>
  <c r="V2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6" i="13"/>
  <c r="Q57" i="13"/>
  <c r="Q58" i="13"/>
  <c r="Q59" i="13"/>
  <c r="Q60" i="13"/>
  <c r="Q61" i="13"/>
  <c r="Q53" i="13"/>
  <c r="Q54" i="13"/>
  <c r="Q55" i="13"/>
  <c r="Q62" i="13"/>
  <c r="Q63" i="13"/>
  <c r="Q64" i="13"/>
  <c r="Q65" i="13"/>
  <c r="Q66" i="13"/>
  <c r="Q67" i="13"/>
  <c r="Q73" i="13"/>
  <c r="Q68" i="13"/>
  <c r="Q69" i="13"/>
  <c r="Q70" i="13"/>
  <c r="Q71" i="13"/>
  <c r="Q72" i="13"/>
  <c r="Q74" i="13"/>
  <c r="Q75" i="13"/>
  <c r="Q76" i="13"/>
  <c r="Q77" i="13"/>
  <c r="Q78" i="13"/>
  <c r="Q79" i="13"/>
  <c r="Q80" i="1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0" i="3"/>
  <c r="E31" i="3"/>
  <c r="E32" i="3"/>
  <c r="E33" i="3"/>
  <c r="E35" i="3"/>
  <c r="E36" i="3"/>
  <c r="E37" i="3"/>
  <c r="E38" i="3"/>
  <c r="E39" i="3"/>
  <c r="E40" i="3"/>
  <c r="E41" i="3"/>
  <c r="E43" i="3"/>
  <c r="E44" i="3"/>
  <c r="E45" i="3"/>
  <c r="E3" i="3"/>
  <c r="E4" i="2"/>
  <c r="E4" i="5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</calcChain>
</file>

<file path=xl/sharedStrings.xml><?xml version="1.0" encoding="utf-8"?>
<sst xmlns="http://schemas.openxmlformats.org/spreadsheetml/2006/main" count="6286" uniqueCount="1599">
  <si>
    <t>LWw</t>
  </si>
  <si>
    <t>kg</t>
  </si>
  <si>
    <t>Liquid weight setpoint</t>
  </si>
  <si>
    <t>FHrelw</t>
  </si>
  <si>
    <t>%</t>
  </si>
  <si>
    <t>Harvest rate</t>
  </si>
  <si>
    <t>NStw</t>
  </si>
  <si>
    <t>1/min</t>
  </si>
  <si>
    <t>Setpoint for agitation speed</t>
  </si>
  <si>
    <t>FnAIRw</t>
  </si>
  <si>
    <t>l/min</t>
  </si>
  <si>
    <t>Aeration rate AIR extern</t>
  </si>
  <si>
    <t>FnN2w</t>
  </si>
  <si>
    <t>Aeration rate N2 extern</t>
  </si>
  <si>
    <t>FnO2w</t>
  </si>
  <si>
    <t>Aeration rate O2 extern</t>
  </si>
  <si>
    <t>FnCO2w</t>
  </si>
  <si>
    <t>Aeration rate CO2 extern</t>
  </si>
  <si>
    <t>FnGw</t>
  </si>
  <si>
    <t>Value of chosen aeration rate</t>
  </si>
  <si>
    <t>FRw</t>
  </si>
  <si>
    <t>l/h</t>
  </si>
  <si>
    <t>Value of chosen constant feed rate</t>
  </si>
  <si>
    <t>pO2w</t>
  </si>
  <si>
    <t>Value of pO2 setpoint</t>
  </si>
  <si>
    <t>pHw</t>
  </si>
  <si>
    <t>-</t>
  </si>
  <si>
    <t>Value of pH Setpoint</t>
  </si>
  <si>
    <t>thetaLw</t>
  </si>
  <si>
    <t>°C</t>
  </si>
  <si>
    <t>Value of temperature Setpoint</t>
  </si>
  <si>
    <t>deltapGw</t>
  </si>
  <si>
    <t>bar</t>
  </si>
  <si>
    <t>Pressure setpoint</t>
  </si>
  <si>
    <t>tmax</t>
  </si>
  <si>
    <t>h</t>
  </si>
  <si>
    <t>Time limit for cultivation</t>
  </si>
  <si>
    <t>VL0</t>
  </si>
  <si>
    <t>l</t>
  </si>
  <si>
    <t>Initial volumme in reactor</t>
  </si>
  <si>
    <t>cS1L0</t>
  </si>
  <si>
    <t>g/l</t>
  </si>
  <si>
    <t>Initial glucose concentration t = 0 h</t>
  </si>
  <si>
    <t>cS2L0</t>
  </si>
  <si>
    <t>Initial glycerine concentration t = 0 h</t>
  </si>
  <si>
    <t>cS3L0</t>
  </si>
  <si>
    <t>Initial acetate concentration t = 0 h</t>
  </si>
  <si>
    <t>cXL0</t>
  </si>
  <si>
    <t>Initial cell concentration t = 0 h</t>
  </si>
  <si>
    <t>pGcal</t>
  </si>
  <si>
    <t>n/m^2</t>
  </si>
  <si>
    <t>Pressure at calibration</t>
  </si>
  <si>
    <t>xOGcal</t>
  </si>
  <si>
    <t>Molar concentration of oxygen at calibration</t>
  </si>
  <si>
    <t>xCGin</t>
  </si>
  <si>
    <t>Molar concentration of carbon dioxide in aeration</t>
  </si>
  <si>
    <t>cS1R</t>
  </si>
  <si>
    <t>Glucose concentration in reservoir</t>
  </si>
  <si>
    <t>cOR</t>
  </si>
  <si>
    <t>Dissolved oxygen concentration in reservoir</t>
  </si>
  <si>
    <t>CCRtot</t>
  </si>
  <si>
    <t>mol/l</t>
  </si>
  <si>
    <t>Total CO2 concentration in reservoir</t>
  </si>
  <si>
    <t>VR0</t>
  </si>
  <si>
    <t>Maximum volume of feed reservoir at t = 0 h</t>
  </si>
  <si>
    <t>cS2R</t>
  </si>
  <si>
    <t>Concentration of glycerine in glucose reservoir</t>
  </si>
  <si>
    <t>cXR</t>
  </si>
  <si>
    <t>Concentration of cells in glucose reservoir</t>
  </si>
  <si>
    <t>CPRtot</t>
  </si>
  <si>
    <t>Concentration of product in glucose reservoir</t>
  </si>
  <si>
    <t>CAlT2tot</t>
  </si>
  <si>
    <t>pH-base reservoir concentration (ammonia)</t>
  </si>
  <si>
    <t>CCT1tot</t>
  </si>
  <si>
    <t>Total CO2 concentration in acid reservoir</t>
  </si>
  <si>
    <t>CCT2tot</t>
  </si>
  <si>
    <t>Total CO2 concentration in base reservoir</t>
  </si>
  <si>
    <t>cOT1</t>
  </si>
  <si>
    <t>Dissolved O2 concentration in acid reservoir</t>
  </si>
  <si>
    <t>cOT2</t>
  </si>
  <si>
    <t>Dissolved O2 concentration in base reservoir</t>
  </si>
  <si>
    <t>pO20</t>
  </si>
  <si>
    <t>Partial pressure of dissolved oxygen at t = 0 h</t>
  </si>
  <si>
    <t>cOL100</t>
  </si>
  <si>
    <t>O2-concentration in liquid phase at 100 % pO2-indication</t>
  </si>
  <si>
    <t>cOLmax</t>
  </si>
  <si>
    <t>Maximum potential O2-concentration in liquid phase</t>
  </si>
  <si>
    <t>kLamin</t>
  </si>
  <si>
    <t>Minimum value of kLa</t>
  </si>
  <si>
    <t>kLamax</t>
  </si>
  <si>
    <t>Maximum value of kLa</t>
  </si>
  <si>
    <t>thetaL0</t>
  </si>
  <si>
    <t>Initial temperature in liquid phase at t = 0 h</t>
  </si>
  <si>
    <t>thetaD0</t>
  </si>
  <si>
    <t>Initial temperature in double jacket at t = 0 h</t>
  </si>
  <si>
    <t>pH0</t>
  </si>
  <si>
    <t>Initial pH at t = 0 h</t>
  </si>
  <si>
    <t>KB1</t>
  </si>
  <si>
    <t>1. buffer dissociation constant (H3PO4 to H2PO4-)</t>
  </si>
  <si>
    <t>KB2</t>
  </si>
  <si>
    <t>2. buffer dissociation constant (H2PO4- to HPO4--)</t>
  </si>
  <si>
    <t>KB3</t>
  </si>
  <si>
    <t>3. buffer dissociation constant (HPO4-- to PO4---)</t>
  </si>
  <si>
    <t>KP</t>
  </si>
  <si>
    <t>Acetate (product) dissociation constant (CH3COOH to CH3COO-)</t>
  </si>
  <si>
    <t>KAl</t>
  </si>
  <si>
    <t>Ammonia (pH base) dissociation constant (NH3 to NH4+)</t>
  </si>
  <si>
    <t>KAc1</t>
  </si>
  <si>
    <t>1. titration acid dissociation constant (H2SO3 to HSO3-)</t>
  </si>
  <si>
    <t>KAc2</t>
  </si>
  <si>
    <t>2. tritration acid dissociation constant (HSO3- to SO3--)</t>
  </si>
  <si>
    <t>MAc</t>
  </si>
  <si>
    <t>g/mol</t>
  </si>
  <si>
    <t>Molar mass of titration acid</t>
  </si>
  <si>
    <t>MAl</t>
  </si>
  <si>
    <t>Molar mass of ammonia</t>
  </si>
  <si>
    <t>MP</t>
  </si>
  <si>
    <t>Molar mass of product</t>
  </si>
  <si>
    <t>VT10</t>
  </si>
  <si>
    <t>Acid reservoir volume at t = 0 h</t>
  </si>
  <si>
    <t>VT20</t>
  </si>
  <si>
    <t>Base reservoir volume at t = 0 h</t>
  </si>
  <si>
    <t>KAlvol</t>
  </si>
  <si>
    <t>Stripping constant ammonia</t>
  </si>
  <si>
    <t>CPLtot0</t>
  </si>
  <si>
    <t>Produced acid in liquid phase t = 0 h</t>
  </si>
  <si>
    <t>CB1Ltot0</t>
  </si>
  <si>
    <t>Molar buffer acid concentration in liquid phase t = 0 h</t>
  </si>
  <si>
    <t>CB2Ltot0</t>
  </si>
  <si>
    <t>Molar buffer base concentration in liquid phase t = 0 h</t>
  </si>
  <si>
    <t>CAlLtot0</t>
  </si>
  <si>
    <t>Ammonia concentration in liquid phase t = 0 h</t>
  </si>
  <si>
    <t>CAcLtot0</t>
  </si>
  <si>
    <t>Titration acid in liquid phase t = 0 h</t>
  </si>
  <si>
    <t>CAcT1tot</t>
  </si>
  <si>
    <t>pH-acid reservoir [mol/l]</t>
  </si>
  <si>
    <t>motor</t>
  </si>
  <si>
    <t>Signal for stirrer to be turned on/off</t>
  </si>
  <si>
    <t>aeration</t>
  </si>
  <si>
    <t>Signal for aeration to be turned on/off</t>
  </si>
  <si>
    <t>air</t>
  </si>
  <si>
    <t>Signal for aeration with AIR</t>
  </si>
  <si>
    <t>N2</t>
  </si>
  <si>
    <t>Signal for aeration with N2</t>
  </si>
  <si>
    <t>O2</t>
  </si>
  <si>
    <t>Signal for aeration with O2</t>
  </si>
  <si>
    <t>CO2</t>
  </si>
  <si>
    <t>Signal for aeration with CO2</t>
  </si>
  <si>
    <t>feed</t>
  </si>
  <si>
    <t>Signal for feed to be turned on/off</t>
  </si>
  <si>
    <t>harvest</t>
  </si>
  <si>
    <t>Signal for harvest to be turned on/off</t>
  </si>
  <si>
    <t>antifoam</t>
  </si>
  <si>
    <t>Signal for antifoam addition</t>
  </si>
  <si>
    <t>alkali</t>
  </si>
  <si>
    <t>Signal for alkali addition</t>
  </si>
  <si>
    <t>acid</t>
  </si>
  <si>
    <t>Signal for acid addition</t>
  </si>
  <si>
    <t>cooling</t>
  </si>
  <si>
    <t>Signal for cooling</t>
  </si>
  <si>
    <t>heating</t>
  </si>
  <si>
    <t>Signal for heating</t>
  </si>
  <si>
    <t>pH_mode</t>
  </si>
  <si>
    <t>Signal for automatic or manual pH control</t>
  </si>
  <si>
    <t>temp_mode</t>
  </si>
  <si>
    <t>Signal for automatic or manual temperature control</t>
  </si>
  <si>
    <t>pO2_agi</t>
  </si>
  <si>
    <t>Signal for pO2 agitation control</t>
  </si>
  <si>
    <t>pO2_feed</t>
  </si>
  <si>
    <t>Signal for pO2 feed control</t>
  </si>
  <si>
    <t>pO2_aeration</t>
  </si>
  <si>
    <t>Signal for pO2 aeration control</t>
  </si>
  <si>
    <t>pO2_gasmix</t>
  </si>
  <si>
    <t>Signal for pO2 gasmix control</t>
  </si>
  <si>
    <t>LW_harvest</t>
  </si>
  <si>
    <t>Signal for liquid weight harvest control</t>
  </si>
  <si>
    <t>InocStart</t>
  </si>
  <si>
    <t>Signal for inoculation at start of simulation</t>
  </si>
  <si>
    <t>ypH_SET</t>
  </si>
  <si>
    <t>Setpoint for difference between measured pH and wanted pH</t>
  </si>
  <si>
    <t>KP_pH</t>
  </si>
  <si>
    <t>Gain of P part of pH master controller</t>
  </si>
  <si>
    <t>KP_pH2a</t>
  </si>
  <si>
    <t>Gain of P part of acid pH slave controller</t>
  </si>
  <si>
    <t>KP_pH2b</t>
  </si>
  <si>
    <t>Gain of P part of base pH slave controller</t>
  </si>
  <si>
    <t>KI_temp1</t>
  </si>
  <si>
    <t>Gain of I part of temperature master controller</t>
  </si>
  <si>
    <t>KP_temp1</t>
  </si>
  <si>
    <t>Gain of P part of temperature master controller</t>
  </si>
  <si>
    <t>KP_temp2h</t>
  </si>
  <si>
    <t>Gain of P part of temperature heating slave controller</t>
  </si>
  <si>
    <t>KP_temp2c</t>
  </si>
  <si>
    <t>KI_agi</t>
  </si>
  <si>
    <t>Gain of I part of agitation controller</t>
  </si>
  <si>
    <t>KP_agi</t>
  </si>
  <si>
    <t>Gain of P part of agitation controller</t>
  </si>
  <si>
    <t>KD_agi</t>
  </si>
  <si>
    <t>Gain of D part of agitation controller</t>
  </si>
  <si>
    <t>KI_feed</t>
  </si>
  <si>
    <t>Gain of I part of feed controller</t>
  </si>
  <si>
    <t>KP_feed</t>
  </si>
  <si>
    <t>Gain of P part of feed controller</t>
  </si>
  <si>
    <t>KD_feed</t>
  </si>
  <si>
    <t>Gain of D part of feed controller</t>
  </si>
  <si>
    <t>KI_aeration</t>
  </si>
  <si>
    <t>Gain of I part of aeration controller</t>
  </si>
  <si>
    <t>KP_aeration</t>
  </si>
  <si>
    <t>Gain of P part of aeration controller</t>
  </si>
  <si>
    <t>KD_aeration</t>
  </si>
  <si>
    <t>Gain of D part of aeration controller</t>
  </si>
  <si>
    <t>KI_gasmix</t>
  </si>
  <si>
    <t>Gain of I part of gasmix controller</t>
  </si>
  <si>
    <t>KP_gasmix</t>
  </si>
  <si>
    <t>Gain of P part of gasmix controller</t>
  </si>
  <si>
    <t>KD_gasmix</t>
  </si>
  <si>
    <t>Gain of D part of gasmix controller</t>
  </si>
  <si>
    <t>KI_LW</t>
  </si>
  <si>
    <t>Gain of I part of liquid weight controller</t>
  </si>
  <si>
    <t>KP_LW</t>
  </si>
  <si>
    <t>Gain of P part of liquid weight controller</t>
  </si>
  <si>
    <t>KD_LW</t>
  </si>
  <si>
    <t>Gain of D part of liquid weight controller</t>
  </si>
  <si>
    <t>Controller gain</t>
  </si>
  <si>
    <t>Flags</t>
  </si>
  <si>
    <t>Aeration parameters</t>
  </si>
  <si>
    <t>Initial values</t>
  </si>
  <si>
    <t>Setpoints</t>
  </si>
  <si>
    <t>xOAIR</t>
  </si>
  <si>
    <t>Molar concentration of oxygen in AIR</t>
  </si>
  <si>
    <t>xCAIR</t>
  </si>
  <si>
    <t>Molar concentration of carbondioxide in AIR</t>
  </si>
  <si>
    <t>HnO2</t>
  </si>
  <si>
    <t>N*m/kg</t>
  </si>
  <si>
    <t>O2 Henry constant under normal conditions</t>
  </si>
  <si>
    <t>HO20</t>
  </si>
  <si>
    <t>O2 Henry constant</t>
  </si>
  <si>
    <t>HnCO2</t>
  </si>
  <si>
    <t>CO2 Henry constant under normal conditions</t>
  </si>
  <si>
    <t>HCO20</t>
  </si>
  <si>
    <t>CO2 Henry constant</t>
  </si>
  <si>
    <t>VnM</t>
  </si>
  <si>
    <t>l/mol</t>
  </si>
  <si>
    <t>Gas volume under normal conditions</t>
  </si>
  <si>
    <t>MO2</t>
  </si>
  <si>
    <t>Molar mass of O2</t>
  </si>
  <si>
    <t>MCO2</t>
  </si>
  <si>
    <t>Molar mass of CO2</t>
  </si>
  <si>
    <t>TnG</t>
  </si>
  <si>
    <t>K</t>
  </si>
  <si>
    <t>Gas temperature under normal conditions</t>
  </si>
  <si>
    <t>pnG</t>
  </si>
  <si>
    <t>N/m^2</t>
  </si>
  <si>
    <t>Gas pressure under normal conditions</t>
  </si>
  <si>
    <t>R</t>
  </si>
  <si>
    <t>N*m/(kmol*K)</t>
  </si>
  <si>
    <t>Gas constant</t>
  </si>
  <si>
    <t>K1HO2</t>
  </si>
  <si>
    <t>°C^(-1)</t>
  </si>
  <si>
    <t>Normed parameter of O2 Bunsen coefficient</t>
  </si>
  <si>
    <t>K2HO2</t>
  </si>
  <si>
    <t>°C^(-2)</t>
  </si>
  <si>
    <t>K3HO2</t>
  </si>
  <si>
    <t>°C^(-3)</t>
  </si>
  <si>
    <t>K4HO2</t>
  </si>
  <si>
    <t>°C^(-4)</t>
  </si>
  <si>
    <t>K1HCO2</t>
  </si>
  <si>
    <t>Normed parameter of CO2 Bunsen coefficient</t>
  </si>
  <si>
    <t>K2HCO2</t>
  </si>
  <si>
    <t>K3HCO2</t>
  </si>
  <si>
    <t>K4HCO2</t>
  </si>
  <si>
    <t>CH0</t>
  </si>
  <si>
    <t>pH norm concentration</t>
  </si>
  <si>
    <t>cH2O</t>
  </si>
  <si>
    <t>h/(kgK)</t>
  </si>
  <si>
    <t>Specific heat capacity of water</t>
  </si>
  <si>
    <t>deltahv</t>
  </si>
  <si>
    <t>kJ/kg</t>
  </si>
  <si>
    <t>Evaporation enthalpie of water</t>
  </si>
  <si>
    <t>eta0</t>
  </si>
  <si>
    <t>Ns/m^2</t>
  </si>
  <si>
    <t>Viscosity of water</t>
  </si>
  <si>
    <t>eta1</t>
  </si>
  <si>
    <t>Viscosity at cXLeta</t>
  </si>
  <si>
    <t>cXLeta</t>
  </si>
  <si>
    <t>Refering cell concentration</t>
  </si>
  <si>
    <t>mdotT</t>
  </si>
  <si>
    <t>kg/h</t>
  </si>
  <si>
    <t>Mass flux in temperature cycle</t>
  </si>
  <si>
    <t>KC1</t>
  </si>
  <si>
    <t>1. CO2 dissociation constant</t>
  </si>
  <si>
    <t>KC2</t>
  </si>
  <si>
    <t>2. CO2 dissociation constant</t>
  </si>
  <si>
    <t>alpha</t>
  </si>
  <si>
    <t>Parameter for kLa calculation</t>
  </si>
  <si>
    <t>beta</t>
  </si>
  <si>
    <t>gamma</t>
  </si>
  <si>
    <t>Bioreactor</t>
  </si>
  <si>
    <t>Reactorvolume</t>
  </si>
  <si>
    <t>FRmax</t>
  </si>
  <si>
    <t>Maximum feed pump rate</t>
  </si>
  <si>
    <t>FnAIRmax</t>
  </si>
  <si>
    <t>Maximumm possible air aeration rate</t>
  </si>
  <si>
    <t>FnO2max</t>
  </si>
  <si>
    <t>Maximum possible O2 aeration rate</t>
  </si>
  <si>
    <t>FnN2max</t>
  </si>
  <si>
    <t>Maximum possible N2 aeration rate</t>
  </si>
  <si>
    <t>FnCO2max</t>
  </si>
  <si>
    <t>Maximum possible CO2 aeration rate</t>
  </si>
  <si>
    <t>FnGmax</t>
  </si>
  <si>
    <t>Summed up maximum aeration rate</t>
  </si>
  <si>
    <t>NStmax</t>
  </si>
  <si>
    <t>Maximum possible stirrer speed</t>
  </si>
  <si>
    <t>TMpO2</t>
  </si>
  <si>
    <t>Time constant pO2 measurement system 0.0025 h = 9 s</t>
  </si>
  <si>
    <t>TMxO2</t>
  </si>
  <si>
    <t>Time constant xO2 measurement system 0.0042 h = 15 s*/</t>
  </si>
  <si>
    <t>TMxCO2</t>
  </si>
  <si>
    <t>Time constant xCO2 measurement system</t>
  </si>
  <si>
    <t>TMpH</t>
  </si>
  <si>
    <t>Time constant pH measurement system</t>
  </si>
  <si>
    <t>FHmax</t>
  </si>
  <si>
    <t>Maximum harvest pump rate</t>
  </si>
  <si>
    <t>FFmax</t>
  </si>
  <si>
    <t>Maximum filtrate pump rate</t>
  </si>
  <si>
    <t>FT1max</t>
  </si>
  <si>
    <t>1/h</t>
  </si>
  <si>
    <t>Maximum titration rate of the acid pump</t>
  </si>
  <si>
    <t>FT2max</t>
  </si>
  <si>
    <t>Maximum titration rate of the alkali pump</t>
  </si>
  <si>
    <t>alphaH</t>
  </si>
  <si>
    <t>W/(m^2*K)</t>
  </si>
  <si>
    <t>Heat transfer coefficient of the heating medium</t>
  </si>
  <si>
    <t>alphaTh</t>
  </si>
  <si>
    <t>Heat transfer coefficient of the temperature medium</t>
  </si>
  <si>
    <t>deltaHTh</t>
  </si>
  <si>
    <t>m</t>
  </si>
  <si>
    <t>Wall diameter between H and Th</t>
  </si>
  <si>
    <t>lamdaHTh</t>
  </si>
  <si>
    <t>W/(m*K)</t>
  </si>
  <si>
    <t>Thermal conductivity of the wall between H and Th</t>
  </si>
  <si>
    <t>mdotCmax</t>
  </si>
  <si>
    <t>Maximum cooling-water mass flux 8</t>
  </si>
  <si>
    <t>thetaCin</t>
  </si>
  <si>
    <t>Temperature cooling-water inlet</t>
  </si>
  <si>
    <t>mC</t>
  </si>
  <si>
    <t>Mass of the cooling system</t>
  </si>
  <si>
    <t>alphaC</t>
  </si>
  <si>
    <t>W/(m^2K)</t>
  </si>
  <si>
    <t>Heat transfer coefficient of cooling-water</t>
  </si>
  <si>
    <t>deltaCT</t>
  </si>
  <si>
    <t>Exchanging diameter of the heat exchanger</t>
  </si>
  <si>
    <t>lamdaCT</t>
  </si>
  <si>
    <t>W/(mK)</t>
  </si>
  <si>
    <t>Thermal conductivity of the exchange wall</t>
  </si>
  <si>
    <t>ACT</t>
  </si>
  <si>
    <t>m^2</t>
  </si>
  <si>
    <t>Surface of the heat exchanger</t>
  </si>
  <si>
    <t>VH</t>
  </si>
  <si>
    <t>m^3</t>
  </si>
  <si>
    <t>Volume of heating system</t>
  </si>
  <si>
    <t>rhoH</t>
  </si>
  <si>
    <t>kg/m^3</t>
  </si>
  <si>
    <t>Density of heating system</t>
  </si>
  <si>
    <t>rhoH2O</t>
  </si>
  <si>
    <t>Density of water at 20°C</t>
  </si>
  <si>
    <t>mTc</t>
  </si>
  <si>
    <t>Mass of cooling system</t>
  </si>
  <si>
    <t>alphaT</t>
  </si>
  <si>
    <t>Heat transfer coefficient of the temperated water</t>
  </si>
  <si>
    <t>PHmax</t>
  </si>
  <si>
    <t>W</t>
  </si>
  <si>
    <t>Maximum electrical heating power (10 l reactor)</t>
  </si>
  <si>
    <t>mdotHmax</t>
  </si>
  <si>
    <t>Maximum steam heating flux</t>
  </si>
  <si>
    <t>thetaHin</t>
  </si>
  <si>
    <t>Temperature of steam at inlet (saturated steam)</t>
  </si>
  <si>
    <t>AHTh</t>
  </si>
  <si>
    <t>Surface double jacket/reactor interior</t>
  </si>
  <si>
    <t>mD</t>
  </si>
  <si>
    <t>Liquid mass in double jacket</t>
  </si>
  <si>
    <t>alphaD</t>
  </si>
  <si>
    <t>Heat transfer coefficient double jacket-wall</t>
  </si>
  <si>
    <t>deltaDU</t>
  </si>
  <si>
    <t>Diameter double jacket outer wall</t>
  </si>
  <si>
    <t>lamdaDU</t>
  </si>
  <si>
    <t>Coefficient of thermal conductivity double jacket outer wall</t>
  </si>
  <si>
    <t>ADU</t>
  </si>
  <si>
    <t>Surface double jacket - environment</t>
  </si>
  <si>
    <t>deltaDL</t>
  </si>
  <si>
    <t>Diameter double jacket inner wall</t>
  </si>
  <si>
    <t>lamdaDL</t>
  </si>
  <si>
    <t>Coefficient of thermal conductivity double jacket inner wall</t>
  </si>
  <si>
    <t>ADL</t>
  </si>
  <si>
    <t>Surface double jacket - liquid phase</t>
  </si>
  <si>
    <t>rhoL</t>
  </si>
  <si>
    <t>kg/l</t>
  </si>
  <si>
    <t>Density of liquid in reactor</t>
  </si>
  <si>
    <t>alphaL</t>
  </si>
  <si>
    <t>Heat transfer coefficient liquid - wall</t>
  </si>
  <si>
    <t>deltaLU</t>
  </si>
  <si>
    <t>Wall-diameter liquid - environment</t>
  </si>
  <si>
    <t>lamdaLU</t>
  </si>
  <si>
    <t>Thermal conductivity liquid - environment</t>
  </si>
  <si>
    <t>ALU</t>
  </si>
  <si>
    <t>Surface liquid - environment</t>
  </si>
  <si>
    <t>KHSt</t>
  </si>
  <si>
    <t>Wmin^3/l</t>
  </si>
  <si>
    <t>Proportionality coefficient stirrer heat evolution</t>
  </si>
  <si>
    <t>KHM</t>
  </si>
  <si>
    <t>Wh/g</t>
  </si>
  <si>
    <t>Proportionality coefficient microorganism heat evolution</t>
  </si>
  <si>
    <t>mWD</t>
  </si>
  <si>
    <t>Mass double jacket outside +0.5 double jacket inside</t>
  </si>
  <si>
    <t>mWL</t>
  </si>
  <si>
    <t>Mass reactor wall -0.5 double jacket inside</t>
  </si>
  <si>
    <t>cW</t>
  </si>
  <si>
    <t>Wh/(kgK)</t>
  </si>
  <si>
    <t>Specific heat capacity of the wall</t>
  </si>
  <si>
    <t>thetaU</t>
  </si>
  <si>
    <t>Environmental temperature in reactor</t>
  </si>
  <si>
    <t>alphaU</t>
  </si>
  <si>
    <t>W/(m^2 K)</t>
  </si>
  <si>
    <t>Heat transfer coefficient environment - wall</t>
  </si>
  <si>
    <t>Temperature</t>
  </si>
  <si>
    <t>Instrumentation</t>
  </si>
  <si>
    <t>Organism</t>
  </si>
  <si>
    <t>my1opt</t>
  </si>
  <si>
    <t>Maximum specific growth rate glucose</t>
  </si>
  <si>
    <t>my2opt</t>
  </si>
  <si>
    <t>Maximum specific growth rate glycerol</t>
  </si>
  <si>
    <t>my3opt</t>
  </si>
  <si>
    <t>Maximum specific growth rate acetate</t>
  </si>
  <si>
    <t>qOpXm</t>
  </si>
  <si>
    <t>Specific O2 maintenance rate</t>
  </si>
  <si>
    <t>qS1pXm</t>
  </si>
  <si>
    <t>Spcific substrate maintenance rate glucose</t>
  </si>
  <si>
    <t>kS1</t>
  </si>
  <si>
    <t>Substrate limitation constant glucose</t>
  </si>
  <si>
    <t>kS2</t>
  </si>
  <si>
    <t>Substrate limitation constant glycerol</t>
  </si>
  <si>
    <t>kS3</t>
  </si>
  <si>
    <t>Substrate limitation constant acetate</t>
  </si>
  <si>
    <t>kI21</t>
  </si>
  <si>
    <t>Inhibition of glycerine uptake in presence of glucose</t>
  </si>
  <si>
    <t>kI31</t>
  </si>
  <si>
    <t>Inhibition of acetate uptake in presence of glucose</t>
  </si>
  <si>
    <t>kI32</t>
  </si>
  <si>
    <t>Inhibition of acetate uptake due to glycerine</t>
  </si>
  <si>
    <t>kIPO</t>
  </si>
  <si>
    <t>Inhibition of acetate production due to O2</t>
  </si>
  <si>
    <t>kO</t>
  </si>
  <si>
    <t>Oxygen limitation constant</t>
  </si>
  <si>
    <t>yXpS1gr</t>
  </si>
  <si>
    <t>Substrate growth yield coefficient glucose</t>
  </si>
  <si>
    <t>yXpS2gr</t>
  </si>
  <si>
    <t>Substrate growth yield coefficient glycerine</t>
  </si>
  <si>
    <t>yXpS3gr</t>
  </si>
  <si>
    <t>Substrate growth yield coefficient acetate</t>
  </si>
  <si>
    <t>yXpOgr</t>
  </si>
  <si>
    <t>Oxygen growth yield coefficient</t>
  </si>
  <si>
    <t>yPpS1</t>
  </si>
  <si>
    <t>Product yield coefficient glucose</t>
  </si>
  <si>
    <t>yPpS2</t>
  </si>
  <si>
    <t>Product yield coefficient glycerine</t>
  </si>
  <si>
    <t>yPpS3</t>
  </si>
  <si>
    <t>Product yield coefficient acetate</t>
  </si>
  <si>
    <t>yAlpXgr</t>
  </si>
  <si>
    <t>Ammonia yield coefficient cells</t>
  </si>
  <si>
    <t>yAcpXgr</t>
  </si>
  <si>
    <t>Titration acid yield coefficient cells</t>
  </si>
  <si>
    <t>yCpO</t>
  </si>
  <si>
    <t>Cell internal respiratory behavior</t>
  </si>
  <si>
    <t>deltaCpO</t>
  </si>
  <si>
    <t>Relation CO2/O2 transition</t>
  </si>
  <si>
    <t>yXpS</t>
  </si>
  <si>
    <t>Yield coefficient of gram cells per gram substrate</t>
  </si>
  <si>
    <t>yXpO</t>
  </si>
  <si>
    <t>Yield coefficient of gram cells per gram oxygen</t>
  </si>
  <si>
    <t>thetaLmingr</t>
  </si>
  <si>
    <t>Minimum liquid temperature required for growth</t>
  </si>
  <si>
    <t>thetaLmaxgr</t>
  </si>
  <si>
    <t>Maximum liquid temperature required for growth</t>
  </si>
  <si>
    <t>thetaLoptgr</t>
  </si>
  <si>
    <t>Optimal temperature required for growth</t>
  </si>
  <si>
    <t>thetaDJ_WP</t>
  </si>
  <si>
    <t>Added by me, working point of cascade temperature slave controller</t>
  </si>
  <si>
    <t>qhpX</t>
  </si>
  <si>
    <t>l/(g*h)</t>
  </si>
  <si>
    <t>Cellspecific foam build up rate</t>
  </si>
  <si>
    <t>tauF0</t>
  </si>
  <si>
    <t>Time constant of foam formation at cXL = 0 g/l</t>
  </si>
  <si>
    <t>KFpX</t>
  </si>
  <si>
    <t>l/g</t>
  </si>
  <si>
    <t>Foam consistency factor</t>
  </si>
  <si>
    <t>KAF</t>
  </si>
  <si>
    <t>(g*h)/l</t>
  </si>
  <si>
    <t>Cell antifoam adsorption constant</t>
  </si>
  <si>
    <t>VAF</t>
  </si>
  <si>
    <t>Activity decline due to antifoam addition</t>
  </si>
  <si>
    <t>AAFtast</t>
  </si>
  <si>
    <t>Antifoam-activity gain per addition step Ttast</t>
  </si>
  <si>
    <t>Ttast</t>
  </si>
  <si>
    <t>Addition unit Ttast</t>
  </si>
  <si>
    <t>pHLmingr</t>
  </si>
  <si>
    <t>Minimum pH required for growth</t>
  </si>
  <si>
    <t>pHLmaxgr</t>
  </si>
  <si>
    <t>Maximum pH required for growth</t>
  </si>
  <si>
    <t>pHLoptgr</t>
  </si>
  <si>
    <t>Optimal pH required for growth</t>
  </si>
  <si>
    <t>pH</t>
  </si>
  <si>
    <t>growth</t>
  </si>
  <si>
    <t>foam</t>
  </si>
  <si>
    <t>Unit</t>
  </si>
  <si>
    <t>Value</t>
  </si>
  <si>
    <t>Description</t>
  </si>
  <si>
    <t>Variable</t>
  </si>
  <si>
    <t>temperature</t>
  </si>
  <si>
    <t>medium</t>
  </si>
  <si>
    <t>ED</t>
  </si>
  <si>
    <t>Process:</t>
  </si>
  <si>
    <t>cXLinoc</t>
  </si>
  <si>
    <t>cS1L</t>
  </si>
  <si>
    <t>cS2L</t>
  </si>
  <si>
    <t>CPLtot</t>
  </si>
  <si>
    <t>cOL</t>
  </si>
  <si>
    <t>pO2</t>
  </si>
  <si>
    <t>xO2</t>
  </si>
  <si>
    <t>xCO2</t>
  </si>
  <si>
    <t>CB1Ltot</t>
  </si>
  <si>
    <t>CB2Ltot</t>
  </si>
  <si>
    <t>CAcLtot</t>
  </si>
  <si>
    <t>CAlLtot</t>
  </si>
  <si>
    <t>CCLtot</t>
  </si>
  <si>
    <t>VL</t>
  </si>
  <si>
    <t>VR</t>
  </si>
  <si>
    <t>VT2</t>
  </si>
  <si>
    <t>VT1</t>
  </si>
  <si>
    <t>hF</t>
  </si>
  <si>
    <t>AAF</t>
  </si>
  <si>
    <t>thetaD</t>
  </si>
  <si>
    <t>deg C</t>
  </si>
  <si>
    <t>thetaL</t>
  </si>
  <si>
    <t>Parameter:</t>
  </si>
  <si>
    <t>rhoR</t>
  </si>
  <si>
    <t>kHTh</t>
  </si>
  <si>
    <t>kJ/m^2</t>
  </si>
  <si>
    <t>mHmax</t>
  </si>
  <si>
    <t>CHmax</t>
  </si>
  <si>
    <t>Ws/K</t>
  </si>
  <si>
    <t>Qny</t>
  </si>
  <si>
    <t>kJ</t>
  </si>
  <si>
    <t>Nm/(kmolK)</t>
  </si>
  <si>
    <t>Nm/kg</t>
  </si>
  <si>
    <t>deg C^-1</t>
  </si>
  <si>
    <t>deg C^-2</t>
  </si>
  <si>
    <t>deg C^-3</t>
  </si>
  <si>
    <t>deg C^-4</t>
  </si>
  <si>
    <t>FRrelw</t>
  </si>
  <si>
    <t>l/(gh)</t>
  </si>
  <si>
    <t>(gh)/l</t>
  </si>
  <si>
    <t>kCT</t>
  </si>
  <si>
    <t>W/(m2K)</t>
  </si>
  <si>
    <t>tauCTc</t>
  </si>
  <si>
    <t>RT</t>
  </si>
  <si>
    <t>K/W</t>
  </si>
  <si>
    <t>DTc</t>
  </si>
  <si>
    <t>tauTcC</t>
  </si>
  <si>
    <t>phiTcC</t>
  </si>
  <si>
    <t>DD</t>
  </si>
  <si>
    <t>CD</t>
  </si>
  <si>
    <t>Wh/K</t>
  </si>
  <si>
    <t>kDU</t>
  </si>
  <si>
    <t>tauDU</t>
  </si>
  <si>
    <t>kDL</t>
  </si>
  <si>
    <t>tauDL</t>
  </si>
  <si>
    <t>tauD</t>
  </si>
  <si>
    <t>kLU</t>
  </si>
  <si>
    <t>g CO2/g O2</t>
  </si>
  <si>
    <t>VLmin</t>
  </si>
  <si>
    <t>Sophia</t>
  </si>
  <si>
    <t>BBI_ED</t>
  </si>
  <si>
    <t>L_{Ww}</t>
  </si>
  <si>
    <t>F_{Hrelw}</t>
  </si>
  <si>
    <t>N_{Stw}</t>
  </si>
  <si>
    <t>F_{nAIRw}</t>
  </si>
  <si>
    <t>F_{nN2w}</t>
  </si>
  <si>
    <t>F_{nO2w}</t>
  </si>
  <si>
    <t>F_{nCO2w}</t>
  </si>
  <si>
    <t>F_{nGw}</t>
  </si>
  <si>
    <t>F_{Rw}</t>
  </si>
  <si>
    <t>pH_{w}</t>
  </si>
  <si>
    <t>\vartheta_{Lw}</t>
  </si>
  <si>
    <t>t_{max}</t>
  </si>
  <si>
    <t>V_{L0}</t>
  </si>
  <si>
    <t>c_{S1L0}</t>
  </si>
  <si>
    <t>c_{S2L0}</t>
  </si>
  <si>
    <t>c_{S3L0}</t>
  </si>
  <si>
    <t>c_{XL0}</t>
  </si>
  <si>
    <t>p_{Gcal}</t>
  </si>
  <si>
    <t>x_{CGin}</t>
  </si>
  <si>
    <t>C_{CRtot}</t>
  </si>
  <si>
    <t>V_{R0}</t>
  </si>
  <si>
    <t>c_{XR}</t>
  </si>
  <si>
    <t>C_{PRtot}</t>
  </si>
  <si>
    <t>C_{AlT2tot}</t>
  </si>
  <si>
    <t>C_{CT1tot}</t>
  </si>
  <si>
    <t>C_{CT2tot}</t>
  </si>
  <si>
    <t>c_{OT1}</t>
  </si>
  <si>
    <t>c_{OT2}</t>
  </si>
  <si>
    <t>pO_{20}</t>
  </si>
  <si>
    <t>k_La_{min}</t>
  </si>
  <si>
    <t>k_La_{max}</t>
  </si>
  <si>
    <t>\vartheta_{L0}</t>
  </si>
  <si>
    <t>\vartheta_{D0}</t>
  </si>
  <si>
    <t>pH_{0}</t>
  </si>
  <si>
    <t>K_{B1}</t>
  </si>
  <si>
    <t>K_{B2}</t>
  </si>
  <si>
    <t>K_{B3}</t>
  </si>
  <si>
    <t>K_{P}</t>
  </si>
  <si>
    <t>K_{Al}</t>
  </si>
  <si>
    <t>K_{Ac1}</t>
  </si>
  <si>
    <t>K_{Ac2}</t>
  </si>
  <si>
    <t>M_{Ac}</t>
  </si>
  <si>
    <t>M_{Al}</t>
  </si>
  <si>
    <t>M_{P}</t>
  </si>
  <si>
    <t>V_{T10}</t>
  </si>
  <si>
    <t>V_{T20}</t>
  </si>
  <si>
    <t>K_{Alvol}</t>
  </si>
  <si>
    <t>C_{PLtot0}</t>
  </si>
  <si>
    <t>C_{B1Ltot0}</t>
  </si>
  <si>
    <t>C_{B2Ltot0}</t>
  </si>
  <si>
    <t>C_{AlLtot0}</t>
  </si>
  <si>
    <t>C_{AcLtot0}</t>
  </si>
  <si>
    <t>C_{AcT1tot}</t>
  </si>
  <si>
    <t>pH_{mode}</t>
  </si>
  <si>
    <t>temp_{mode}</t>
  </si>
  <si>
    <t>pO_2_{agi}</t>
  </si>
  <si>
    <t>pO_2_{feed}</t>
  </si>
  <si>
    <t>pO_2_{aeration}</t>
  </si>
  <si>
    <t>pO_2_{gasmix}</t>
  </si>
  <si>
    <t>L_W_{harvest}</t>
  </si>
  <si>
    <t>Inoc_{Start}</t>
  </si>
  <si>
    <t>ypH_{SET}</t>
  </si>
  <si>
    <t>KP_{pH}</t>
  </si>
  <si>
    <t>KP_{pH2a}</t>
  </si>
  <si>
    <t>KP_{pH2b}</t>
  </si>
  <si>
    <t>KI_{temp1}</t>
  </si>
  <si>
    <t>KP_{temp1}</t>
  </si>
  <si>
    <t>KP_{temp2h}</t>
  </si>
  <si>
    <t>KP_{temp2c}</t>
  </si>
  <si>
    <t>KI_{agi}</t>
  </si>
  <si>
    <t>KP_{agi}</t>
  </si>
  <si>
    <t>KD_{agi}</t>
  </si>
  <si>
    <t>KI_{feed}</t>
  </si>
  <si>
    <t>KP_{feed}</t>
  </si>
  <si>
    <t>KD_{feed}</t>
  </si>
  <si>
    <t>KI_{aeration}</t>
  </si>
  <si>
    <t>KP_{aeration}</t>
  </si>
  <si>
    <t>KD_{aeration}</t>
  </si>
  <si>
    <t>KI_{gasmix}</t>
  </si>
  <si>
    <t>KP_{gasmix}</t>
  </si>
  <si>
    <t>KD_{gasmix}</t>
  </si>
  <si>
    <t>KI_{LW}</t>
  </si>
  <si>
    <t>KP_{LW}</t>
  </si>
  <si>
    <t>KD_{LW}</t>
  </si>
  <si>
    <t>cXL</t>
  </si>
  <si>
    <t>cS3L</t>
  </si>
  <si>
    <t>FR</t>
  </si>
  <si>
    <t>FH</t>
  </si>
  <si>
    <t>xOG</t>
  </si>
  <si>
    <t>xOL</t>
  </si>
  <si>
    <t>NSt</t>
  </si>
  <si>
    <t>FnG</t>
  </si>
  <si>
    <t>pHL</t>
  </si>
  <si>
    <t>xOGin</t>
  </si>
  <si>
    <t>added feed</t>
  </si>
  <si>
    <t>added antifoam</t>
  </si>
  <si>
    <t>added base</t>
  </si>
  <si>
    <t>added acid</t>
  </si>
  <si>
    <t>qXpX</t>
  </si>
  <si>
    <t>Vacid</t>
  </si>
  <si>
    <t>Vbase</t>
  </si>
  <si>
    <t>Vfeed</t>
  </si>
  <si>
    <t>rpm</t>
  </si>
  <si>
    <t>c_{XL}</t>
  </si>
  <si>
    <t>c_{OL}</t>
  </si>
  <si>
    <t>c_{S1L}</t>
  </si>
  <si>
    <t>c_{S2L}</t>
  </si>
  <si>
    <t>c_{S3L}</t>
  </si>
  <si>
    <t>F_{R}</t>
  </si>
  <si>
    <t>F_{H}</t>
  </si>
  <si>
    <t>F_{nG}</t>
  </si>
  <si>
    <t>N_{St}</t>
  </si>
  <si>
    <t>A_{AF}</t>
  </si>
  <si>
    <t>V_{L}</t>
  </si>
  <si>
    <t>pH_{L}</t>
  </si>
  <si>
    <t>\vartheta_{L}</t>
  </si>
  <si>
    <t>pO_{2}</t>
  </si>
  <si>
    <t>V_{acid}</t>
  </si>
  <si>
    <t>C_{AlLtot}</t>
  </si>
  <si>
    <t>V_{base}</t>
  </si>
  <si>
    <t>V_{feed}</t>
  </si>
  <si>
    <t>x_{OGin}</t>
  </si>
  <si>
    <t>pO_{2w}</t>
  </si>
  <si>
    <t>F_{Rmax}</t>
  </si>
  <si>
    <t>F_{AIRmax}</t>
  </si>
  <si>
    <t>F_{O2max}</t>
  </si>
  <si>
    <t>F_{N2max}</t>
  </si>
  <si>
    <t>F_{CO2max}</t>
  </si>
  <si>
    <t>F_{Gmax}</t>
  </si>
  <si>
    <t>N_{Stmax}</t>
  </si>
  <si>
    <t>F_{Hmax}</t>
  </si>
  <si>
    <t>F_{Fmax}</t>
  </si>
  <si>
    <t>F_{T1max}</t>
  </si>
  <si>
    <t>F_{T2max}</t>
  </si>
  <si>
    <t>TM_{pO2}</t>
  </si>
  <si>
    <t>TM_{xO2}</t>
  </si>
  <si>
    <t>TM_{xCO2}</t>
  </si>
  <si>
    <t>TM_{pH}</t>
  </si>
  <si>
    <t>\alpha_{H}</t>
  </si>
  <si>
    <t>\alpha_{C}</t>
  </si>
  <si>
    <t>\lamda_{CT}</t>
  </si>
  <si>
    <t>\rho_{H}</t>
  </si>
  <si>
    <t>\rho_{O}</t>
  </si>
  <si>
    <t>\alpha_{T}</t>
  </si>
  <si>
    <t>\alpha_{D}</t>
  </si>
  <si>
    <t>\lamda_{DU}</t>
  </si>
  <si>
    <t>\lamda_{DL}</t>
  </si>
  <si>
    <t>\rho_{L}</t>
  </si>
  <si>
    <t>\alpha_{L}</t>
  </si>
  <si>
    <t>\lamda_{LU}</t>
  </si>
  <si>
    <t>\theta_{U}</t>
  </si>
  <si>
    <t>\alpha_{U}</t>
  </si>
  <si>
    <t>\alpha_{Th}</t>
  </si>
  <si>
    <t>\delta_{HTh}</t>
  </si>
  <si>
    <t>\lamda_{HTh}</t>
  </si>
  <si>
    <t>\theta_{Cin}</t>
  </si>
  <si>
    <t>\theta_{Hin}</t>
  </si>
  <si>
    <t>\dot m_{Cmax}</t>
  </si>
  <si>
    <t>m_{C}</t>
  </si>
  <si>
    <t>A_{CT}</t>
  </si>
  <si>
    <t>V_{H}</t>
  </si>
  <si>
    <t>m_{Tc}</t>
  </si>
  <si>
    <t>P_{Hmax}</t>
  </si>
  <si>
    <t>\dot m_{Hmax}</t>
  </si>
  <si>
    <t>A_{HTh}</t>
  </si>
  <si>
    <t>m_{D}</t>
  </si>
  <si>
    <t>\Delta_{DU}</t>
  </si>
  <si>
    <t>\Delta_{CT}</t>
  </si>
  <si>
    <t>A_{DU}</t>
  </si>
  <si>
    <t>\Delta_{DL}</t>
  </si>
  <si>
    <t>A_{DL}</t>
  </si>
  <si>
    <t>\Delta_{LU}</t>
  </si>
  <si>
    <t>A_{LU}</t>
  </si>
  <si>
    <t>K_{KHSt}</t>
  </si>
  <si>
    <t>K_{HM}</t>
  </si>
  <si>
    <t>m_{WD}</t>
  </si>
  <si>
    <t>m_{WL}</t>
  </si>
  <si>
    <t>c_{W}</t>
  </si>
  <si>
    <t>μ_{1opt}</t>
  </si>
  <si>
    <t>μ_{2opt}</t>
  </si>
  <si>
    <t>μ_{3opt}</t>
  </si>
  <si>
    <t>q_{O/Xm}</t>
  </si>
  <si>
    <t>y_{X/S1gr}</t>
  </si>
  <si>
    <t>y_{X/S2gr}</t>
  </si>
  <si>
    <t>y_{X/S3gr}</t>
  </si>
  <si>
    <t>y_{X/Ogr}</t>
  </si>
  <si>
    <t>q_{S1/Xm}</t>
  </si>
  <si>
    <t>y_{Al/Xgr}</t>
  </si>
  <si>
    <t>y_{Ac/Xgr}</t>
  </si>
  <si>
    <t>k_{S1}</t>
  </si>
  <si>
    <t>k_{S2}</t>
  </si>
  <si>
    <t>k_{S3}</t>
  </si>
  <si>
    <t>k_{I21}</t>
  </si>
  <si>
    <t>k_{I31}</t>
  </si>
  <si>
    <t>k_{I32}</t>
  </si>
  <si>
    <t>k_{IPO}</t>
  </si>
  <si>
    <t>k_{O}</t>
  </si>
  <si>
    <t>y_{P/S1}</t>
  </si>
  <si>
    <t>y_{P/S2}</t>
  </si>
  <si>
    <t>y_{P/S3}</t>
  </si>
  <si>
    <t>y_{C/O}</t>
  </si>
  <si>
    <t>y_{X/S}</t>
  </si>
  <si>
    <t>y_{X/O}</t>
  </si>
  <si>
    <t>\delta_{C/O}</t>
  </si>
  <si>
    <t>\theta_{Lmingr}</t>
  </si>
  <si>
    <t>\theta_{Lmaxgr}</t>
  </si>
  <si>
    <t>\theta_{Loptgr}</t>
  </si>
  <si>
    <t>\theta_{DJ_WP}</t>
  </si>
  <si>
    <t>q_{h/X}</t>
  </si>
  <si>
    <t>\tau_{F0}</t>
  </si>
  <si>
    <t>K_{F/X}</t>
  </si>
  <si>
    <t>K_{AF}</t>
  </si>
  <si>
    <t>V_{AF}</t>
  </si>
  <si>
    <t>A_{AFtast}</t>
  </si>
  <si>
    <t>T_{tast}</t>
  </si>
  <si>
    <t>pH_{Lmaxgr}</t>
  </si>
  <si>
    <t>pH_{Loptgr}</t>
  </si>
  <si>
    <t>x_{OAIR}</t>
  </si>
  <si>
    <t>x_{CAIR}</t>
  </si>
  <si>
    <t>mdot_{T}</t>
  </si>
  <si>
    <t>H_{nO2}</t>
  </si>
  <si>
    <t>H_{O20}</t>
  </si>
  <si>
    <t>H_{nCO2}</t>
  </si>
  <si>
    <t>H_{CO20}</t>
  </si>
  <si>
    <t>V_{nM}</t>
  </si>
  <si>
    <t>M_{O2}</t>
  </si>
  <si>
    <t>M_{CO2}</t>
  </si>
  <si>
    <t>T_{nG}</t>
  </si>
  <si>
    <t>p_{nG}</t>
  </si>
  <si>
    <t>K_{1HO2}</t>
  </si>
  <si>
    <t>K_{2HO2}</t>
  </si>
  <si>
    <t>K_{3HO2}</t>
  </si>
  <si>
    <t>K_{4HO2}</t>
  </si>
  <si>
    <t>K_{1HCO2}</t>
  </si>
  <si>
    <t>K_{2HCO2}</t>
  </si>
  <si>
    <t>K_{3HCO2}</t>
  </si>
  <si>
    <t>K_{4HCO2}</t>
  </si>
  <si>
    <t>C_{H0}</t>
  </si>
  <si>
    <t>c_{H2O}</t>
  </si>
  <si>
    <t>K_{C1}</t>
  </si>
  <si>
    <t>K_{C2}</t>
  </si>
  <si>
    <t>\delta_{hv}</t>
  </si>
  <si>
    <t>\alpha_{}</t>
  </si>
  <si>
    <t>\gamma_{}</t>
  </si>
  <si>
    <t>\eta_{0}</t>
  </si>
  <si>
    <t>\eta_{1}</t>
  </si>
  <si>
    <t>name</t>
  </si>
  <si>
    <t>tex</t>
  </si>
  <si>
    <t>value</t>
  </si>
  <si>
    <t>category</t>
  </si>
  <si>
    <t>unit</t>
  </si>
  <si>
    <t>description</t>
  </si>
  <si>
    <t>pH-acid reservoir</t>
  </si>
  <si>
    <t>propertyID</t>
  </si>
  <si>
    <t>f_motor</t>
  </si>
  <si>
    <t>f_aeration</t>
  </si>
  <si>
    <t>f_air</t>
  </si>
  <si>
    <t>f_N2</t>
  </si>
  <si>
    <t>f_O2</t>
  </si>
  <si>
    <t>f_CO2</t>
  </si>
  <si>
    <t>f_feed</t>
  </si>
  <si>
    <t>f_harvest</t>
  </si>
  <si>
    <t>f_antifoam</t>
  </si>
  <si>
    <t>f_alkali</t>
  </si>
  <si>
    <t>f_acid</t>
  </si>
  <si>
    <t>f_cooling</t>
  </si>
  <si>
    <t>f_heating</t>
  </si>
  <si>
    <t>f_pH_mode</t>
  </si>
  <si>
    <t>f_temp_mode</t>
  </si>
  <si>
    <t>f_pO2_agi</t>
  </si>
  <si>
    <t>f_pO2_feed</t>
  </si>
  <si>
    <t>f_pO2_aeration</t>
  </si>
  <si>
    <t>f_pO2_gasmix</t>
  </si>
  <si>
    <t>f_LW_harvest</t>
  </si>
  <si>
    <t>f_InocStart</t>
  </si>
  <si>
    <t>VLmax</t>
  </si>
  <si>
    <t>lambdaHTh</t>
  </si>
  <si>
    <t>lambdaCT</t>
  </si>
  <si>
    <t>lambdaDU</t>
  </si>
  <si>
    <t>lambdaDL</t>
  </si>
  <si>
    <t>lambdaLU</t>
  </si>
  <si>
    <t>deltat</t>
  </si>
  <si>
    <t>\Deltap_{Gw}</t>
  </si>
  <si>
    <t>x_{OGcal}</t>
  </si>
  <si>
    <t>c_{S1R}</t>
  </si>
  <si>
    <t>c_{OR}</t>
  </si>
  <si>
    <t>N_2</t>
  </si>
  <si>
    <t>O_2</t>
  </si>
  <si>
    <t>CO_2</t>
  </si>
  <si>
    <t>c_{XL\eta}</t>
  </si>
  <si>
    <t>\alpha</t>
  </si>
  <si>
    <t>\beta</t>
  </si>
  <si>
    <t>\gamma</t>
  </si>
  <si>
    <t>pH_{Lmingr}</t>
  </si>
  <si>
    <t>V_{Lmin}</t>
  </si>
  <si>
    <t>V_{Lmax}</t>
  </si>
  <si>
    <t>\lambda_{HTh}</t>
  </si>
  <si>
    <t>\dot{m}_{Cmax}</t>
  </si>
  <si>
    <t>\lambda_{CT}</t>
  </si>
  <si>
    <t>\lambda_{DU}</t>
  </si>
  <si>
    <t>\lambda_{DL}</t>
  </si>
  <si>
    <t>\lambda_{LU}</t>
  </si>
  <si>
    <t>pH_{Mode}</t>
  </si>
  <si>
    <t>temp_{Mode}</t>
  </si>
  <si>
    <t>pO_2_{Mode}</t>
  </si>
  <si>
    <t>harvest_{Mode}</t>
  </si>
  <si>
    <t>\Deltat</t>
  </si>
  <si>
    <t>s</t>
  </si>
  <si>
    <t>Minimum volume in reactor</t>
  </si>
  <si>
    <t>Maximum volume in reactor</t>
  </si>
  <si>
    <t>Calculation interval</t>
  </si>
  <si>
    <t>f_mode_pH</t>
  </si>
  <si>
    <t>f_mode_temp</t>
  </si>
  <si>
    <t>f_mode_pO2</t>
  </si>
  <si>
    <t>f_mode_harvest</t>
  </si>
  <si>
    <t>pH control mode (1: auto, 0: manual)</t>
  </si>
  <si>
    <t>Temperature control mode (1: auto, 0: manual)</t>
  </si>
  <si>
    <t>pO2 control mode (1: auto, 0: manual)</t>
  </si>
  <si>
    <t>Harvest mode, level control (1: auto, 0: manual)</t>
  </si>
  <si>
    <t>speedfactor</t>
  </si>
  <si>
    <t>Factor_{speed}</t>
  </si>
  <si>
    <t>Speed factor of simulation</t>
  </si>
  <si>
    <t>x_{OG}</t>
  </si>
  <si>
    <t>x_{OL}</t>
  </si>
  <si>
    <t>μ</t>
  </si>
  <si>
    <t>xCG</t>
  </si>
  <si>
    <t>x_{CG}</t>
  </si>
  <si>
    <t>RQ</t>
  </si>
  <si>
    <t>mol/mol</t>
  </si>
  <si>
    <t>QO2max</t>
  </si>
  <si>
    <t>Q_{O2max}</t>
  </si>
  <si>
    <t>g/(lh)</t>
  </si>
  <si>
    <t>QCO2max</t>
  </si>
  <si>
    <t>Q_{CO2max}</t>
  </si>
  <si>
    <t>OTR</t>
  </si>
  <si>
    <t>CTR</t>
  </si>
  <si>
    <t>FT1</t>
  </si>
  <si>
    <t>F_{T1}</t>
  </si>
  <si>
    <t>FT2</t>
  </si>
  <si>
    <t>F_{T2}</t>
  </si>
  <si>
    <t>gl^{-1}</t>
  </si>
  <si>
    <t>lh^{-1}</t>
  </si>
  <si>
    <t>h^{-1}</t>
  </si>
  <si>
    <t>lmin^{-1}</t>
  </si>
  <si>
    <t>molmol^{-1}</t>
  </si>
  <si>
    <t>g(lh)^{-1}</t>
  </si>
  <si>
    <t>f_{Inoculation}</t>
  </si>
  <si>
    <t>f_Inoc</t>
  </si>
  <si>
    <t>Inoculation flag</t>
  </si>
  <si>
    <t>cOL0</t>
  </si>
  <si>
    <t>c_{OL0}</t>
  </si>
  <si>
    <t>O2-concentration in liquid phase at t = 0 h</t>
  </si>
  <si>
    <t>Categories</t>
  </si>
  <si>
    <t>Setpoint</t>
  </si>
  <si>
    <t>Calibration</t>
  </si>
  <si>
    <t>xCGcal</t>
  </si>
  <si>
    <t>x_{CGcal}</t>
  </si>
  <si>
    <t>Molar concentration of carbon dioxide at calibration</t>
  </si>
  <si>
    <t>Substrate reservoirs</t>
  </si>
  <si>
    <t>pH control</t>
  </si>
  <si>
    <t>Gylcerin concentration in reservoir</t>
  </si>
  <si>
    <t>Methanol concentration in reservoir</t>
  </si>
  <si>
    <t>General</t>
  </si>
  <si>
    <t>Cell growth</t>
  </si>
  <si>
    <t>Growth temperature</t>
  </si>
  <si>
    <t>Vessel</t>
  </si>
  <si>
    <t>Temperature control</t>
  </si>
  <si>
    <t>\eta_{H_2O}</t>
  </si>
  <si>
    <t>etaH2O</t>
  </si>
  <si>
    <t>etaXL</t>
  </si>
  <si>
    <t>\eta_{XL}</t>
  </si>
  <si>
    <t>Foam</t>
  </si>
  <si>
    <t>Settings</t>
  </si>
  <si>
    <t>cyclic</t>
  </si>
  <si>
    <t>Pump rate acid</t>
  </si>
  <si>
    <t>Pump rate base</t>
  </si>
  <si>
    <t>C_{AcLtot}</t>
  </si>
  <si>
    <t>pG</t>
  </si>
  <si>
    <t>p_G</t>
  </si>
  <si>
    <t>pa</t>
  </si>
  <si>
    <t>C_{PLtot}</t>
  </si>
  <si>
    <t>pHLm</t>
  </si>
  <si>
    <t>pH_{Lm}</t>
  </si>
  <si>
    <t>thetaLm</t>
  </si>
  <si>
    <t>\vartheta_{Lm}</t>
  </si>
  <si>
    <t>pO2m</t>
  </si>
  <si>
    <t>pO_{2m}</t>
  </si>
  <si>
    <t>OURm</t>
  </si>
  <si>
    <t>end</t>
  </si>
  <si>
    <t>C_{CLtot}</t>
  </si>
  <si>
    <t>C_{B1Ltot}</t>
  </si>
  <si>
    <t>C_{B2Ltot}</t>
  </si>
  <si>
    <t>\vartheta_{D}</t>
  </si>
  <si>
    <t>kLa</t>
  </si>
  <si>
    <t>k_La</t>
  </si>
  <si>
    <t>OUR</t>
  </si>
  <si>
    <t>shorttex</t>
  </si>
  <si>
    <t>longtex</t>
  </si>
  <si>
    <t>displayed</t>
  </si>
  <si>
    <t>upload_rate</t>
  </si>
  <si>
    <t>FnAIR</t>
  </si>
  <si>
    <t>FnO2</t>
  </si>
  <si>
    <t>FnN2</t>
  </si>
  <si>
    <t>FnCO2</t>
  </si>
  <si>
    <t>F_{nAIR}</t>
  </si>
  <si>
    <t>F_{nO_2}</t>
  </si>
  <si>
    <t>F_{nN_2}</t>
  </si>
  <si>
    <t>F_{nCO_2}</t>
  </si>
  <si>
    <t>tex_unit</t>
  </si>
  <si>
    <t>limit_type</t>
  </si>
  <si>
    <t>ymin</t>
  </si>
  <si>
    <t>ymax</t>
  </si>
  <si>
    <t>decimalID</t>
  </si>
  <si>
    <t>colorID</t>
  </si>
  <si>
    <t>linestyleID</t>
  </si>
  <si>
    <t>moll^{-1}</t>
  </si>
  <si>
    <t>Comments</t>
  </si>
  <si>
    <t>delete soon</t>
  </si>
  <si>
    <t>profileID</t>
  </si>
  <si>
    <t>variableID</t>
  </si>
  <si>
    <t>selected</t>
  </si>
  <si>
    <t>visible</t>
  </si>
  <si>
    <t>trend</t>
  </si>
  <si>
    <t>V_{R}</t>
  </si>
  <si>
    <t>V_{T1}</t>
  </si>
  <si>
    <t>V_{T2}</t>
  </si>
  <si>
    <t>organismID</t>
  </si>
  <si>
    <t>initial_assignment</t>
  </si>
  <si>
    <t>app.cXL0</t>
  </si>
  <si>
    <t>app.cS1L0</t>
  </si>
  <si>
    <t>app.cS2L0</t>
  </si>
  <si>
    <t>app.cS3L0</t>
  </si>
  <si>
    <t>app.pO20</t>
  </si>
  <si>
    <t>app.thetaL0</t>
  </si>
  <si>
    <t>app.xOL0</t>
  </si>
  <si>
    <t>app.CAlLtot0</t>
  </si>
  <si>
    <t>app.VL0</t>
  </si>
  <si>
    <t>app.FT10</t>
  </si>
  <si>
    <t>app.FT20</t>
  </si>
  <si>
    <t>app.CAcLtot0</t>
  </si>
  <si>
    <t>app.CB1Ltot0</t>
  </si>
  <si>
    <t>app.CB2Ltot0</t>
  </si>
  <si>
    <t>app.pH0</t>
  </si>
  <si>
    <t>app.thetaD0</t>
  </si>
  <si>
    <t>app.VR0</t>
  </si>
  <si>
    <t>app.VT10</t>
  </si>
  <si>
    <t>app.VT20</t>
  </si>
  <si>
    <t>app.pGcal+app.deltapGw*10^5</t>
  </si>
  <si>
    <t>(app.pO20/100)*app.cOL100</t>
  </si>
  <si>
    <t>app.xOGcal</t>
  </si>
  <si>
    <t>app.xCGcal</t>
  </si>
  <si>
    <t>(1+app.KC1*10^app.pH0+app.KC1*app.KC2*10^(2*app.pH0))*app.xCAIR*app.cCLmax0/app.MCO2</t>
  </si>
  <si>
    <t>app.NStw</t>
  </si>
  <si>
    <t>app.FnAIRw</t>
  </si>
  <si>
    <t>app.FnO2w</t>
  </si>
  <si>
    <t>app.FnN2w</t>
  </si>
  <si>
    <t>app.FnCO2w</t>
  </si>
  <si>
    <t>app.FnAIR(1)+app.FnO2(1)+app.FnN2(1)+app.FnCO2(1)</t>
  </si>
  <si>
    <t>app.FHrelw/100*app.Fhmax</t>
  </si>
  <si>
    <t>OURmax</t>
  </si>
  <si>
    <t>OTRmax</t>
  </si>
  <si>
    <t>(app.kLamin+app.kLamax*((app.FnGw/app.FnGmax)^app.beta)*((app.NStw/app.NStmax)^(3*app.alpha))/((app.VL0/app.VLmin)^app.alpha))*app.cOLmax</t>
  </si>
  <si>
    <t>app.kLamin+app.kLamax*((app.FnGw/app.FnGmax)^app.beta)*((app.NStw/app.NStmax)^(3*app.alpha))/((app.VL0/app.VLmin)^app.alpha)</t>
  </si>
  <si>
    <t>app.FnG(1)*60*app.MO2/(app.VL(1)*app.VnM)</t>
  </si>
  <si>
    <t>app.QO2max(1)*app.MCO2/app.MO2</t>
  </si>
  <si>
    <t>app.OTRmax(end)*(app.xOAIR-app.cOL(end)/app.cOLmax)</t>
  </si>
  <si>
    <t>app.FRw</t>
  </si>
  <si>
    <t>OTR_{max}</t>
  </si>
  <si>
    <t>OUR_{max}</t>
  </si>
  <si>
    <t>type</t>
  </si>
  <si>
    <t>editfield</t>
  </si>
  <si>
    <t>switch</t>
  </si>
  <si>
    <t>propertyTab</t>
  </si>
  <si>
    <t>Bacillus academii</t>
  </si>
  <si>
    <t>value1</t>
  </si>
  <si>
    <t>description1</t>
  </si>
  <si>
    <t>value2</t>
  </si>
  <si>
    <t>description2</t>
  </si>
  <si>
    <t>FR1j</t>
  </si>
  <si>
    <t>FR2j</t>
  </si>
  <si>
    <t>FR3j</t>
  </si>
  <si>
    <t>qS2pXm</t>
  </si>
  <si>
    <t>qS3pXm</t>
  </si>
  <si>
    <t>f_FR1</t>
  </si>
  <si>
    <t>f_FR2</t>
  </si>
  <si>
    <t>f_FR3</t>
  </si>
  <si>
    <t>rhoR1</t>
  </si>
  <si>
    <t>rhoR2</t>
  </si>
  <si>
    <t>rhoR3</t>
  </si>
  <si>
    <t>FR1max</t>
  </si>
  <si>
    <t>FR2max</t>
  </si>
  <si>
    <t>FR3max</t>
  </si>
  <si>
    <t>F_{R1j}</t>
  </si>
  <si>
    <t>F_{R2j}</t>
  </si>
  <si>
    <t>F_{R3j}</t>
  </si>
  <si>
    <t>q_{S2pXm}</t>
  </si>
  <si>
    <t>F_{R1max}</t>
  </si>
  <si>
    <t>F_{R2max}</t>
  </si>
  <si>
    <t>F_{R3max}</t>
  </si>
  <si>
    <t>f_{FR1}</t>
  </si>
  <si>
    <t>f_{FR2}</t>
  </si>
  <si>
    <t>f_{FR3}</t>
  </si>
  <si>
    <t>rho_{R2}</t>
  </si>
  <si>
    <t>rho_{R1}</t>
  </si>
  <si>
    <t>rho_{R3}</t>
  </si>
  <si>
    <t>organismID1</t>
  </si>
  <si>
    <t>organismID2</t>
  </si>
  <si>
    <t>Signal for open-loop feed control with reservoir 1</t>
  </si>
  <si>
    <t>Signal for open-loop feed control with reservoir 2</t>
  </si>
  <si>
    <t>Maximum pump rate of reservoir 1</t>
  </si>
  <si>
    <t>Maximum pump rate of reservoir 2</t>
  </si>
  <si>
    <t>Glycerol reservoir density</t>
  </si>
  <si>
    <t>Methanol reservoir density</t>
  </si>
  <si>
    <t>VR1</t>
  </si>
  <si>
    <t>VR2</t>
  </si>
  <si>
    <t>VR3</t>
  </si>
  <si>
    <t>V_{R1}</t>
  </si>
  <si>
    <t>V_{R2}</t>
  </si>
  <si>
    <t>V_{R3}</t>
  </si>
  <si>
    <t>Glycerol reservoir volume</t>
  </si>
  <si>
    <t>Methanol reservoir volume</t>
  </si>
  <si>
    <t>Spcific substrate maintenance rate glycerol</t>
  </si>
  <si>
    <t>Substrate growth yield coefficient glycerol</t>
  </si>
  <si>
    <t>Growth rate set value for fed-batch 1</t>
  </si>
  <si>
    <t>Growth rate set value for fed-batch 2</t>
  </si>
  <si>
    <t>Process_statusTab</t>
  </si>
  <si>
    <t>status</t>
  </si>
  <si>
    <t>completed</t>
  </si>
  <si>
    <t>active</t>
  </si>
  <si>
    <t>upcoming</t>
  </si>
  <si>
    <t>Process_statusID</t>
  </si>
  <si>
    <t>Process_typeID</t>
  </si>
  <si>
    <t>Process_typeTab</t>
  </si>
  <si>
    <t>Costum</t>
  </si>
  <si>
    <t>Batch</t>
  </si>
  <si>
    <t>Fed-Batch</t>
  </si>
  <si>
    <t>Pulse-Feed</t>
  </si>
  <si>
    <t>Process_sectionID</t>
  </si>
  <si>
    <t>projectID</t>
  </si>
  <si>
    <t>order</t>
  </si>
  <si>
    <t>start_variable</t>
  </si>
  <si>
    <t>Process_variableID</t>
  </si>
  <si>
    <t>Process_conditionTab</t>
  </si>
  <si>
    <t>start_condition</t>
  </si>
  <si>
    <t>start_value</t>
  </si>
  <si>
    <t>Process_conditionID</t>
  </si>
  <si>
    <t>condition</t>
  </si>
  <si>
    <t>&gt;</t>
  </si>
  <si>
    <t>operator</t>
  </si>
  <si>
    <t>≥</t>
  </si>
  <si>
    <t>≤</t>
  </si>
  <si>
    <t>&lt;</t>
  </si>
  <si>
    <t>=</t>
  </si>
  <si>
    <t>&gt;=</t>
  </si>
  <si>
    <t>&lt;=</t>
  </si>
  <si>
    <t>Fed-Batch 1</t>
  </si>
  <si>
    <t>Fed-Batch 2</t>
  </si>
  <si>
    <t>t</t>
  </si>
  <si>
    <t>Process_operatorTab</t>
  </si>
  <si>
    <t>Process_operatorID</t>
  </si>
  <si>
    <t>Process_phaseID</t>
  </si>
  <si>
    <t>Process_phaseTab</t>
  </si>
  <si>
    <t>Process_variableTab</t>
  </si>
  <si>
    <t>Glucose reservoir density</t>
  </si>
  <si>
    <t>Glucose reservoir volume</t>
  </si>
  <si>
    <t>qxpx1w</t>
  </si>
  <si>
    <t>qxpx2w</t>
  </si>
  <si>
    <t>qxpx3w</t>
  </si>
  <si>
    <t>q_{xpx1w}</t>
  </si>
  <si>
    <t>q_{xpx2w}</t>
  </si>
  <si>
    <t>Substrate reservoir</t>
  </si>
  <si>
    <t>Feed control</t>
  </si>
  <si>
    <t>deltatsec</t>
  </si>
  <si>
    <t>\Deltat_{sec}</t>
  </si>
  <si>
    <t>Parameters</t>
  </si>
  <si>
    <t>Initial value</t>
  </si>
  <si>
    <t>once</t>
  </si>
  <si>
    <t>invisible</t>
  </si>
  <si>
    <t>categoryID</t>
  </si>
  <si>
    <t>section</t>
  </si>
  <si>
    <t>reading_rate</t>
  </si>
  <si>
    <t>Initial_assignment</t>
  </si>
  <si>
    <t>VR10</t>
  </si>
  <si>
    <t>VR20</t>
  </si>
  <si>
    <t>VR30</t>
  </si>
  <si>
    <t>V_{R10}</t>
  </si>
  <si>
    <t>V_{R20}</t>
  </si>
  <si>
    <t>V_{R30}</t>
  </si>
  <si>
    <t>kR1</t>
  </si>
  <si>
    <t>kR2</t>
  </si>
  <si>
    <t>kR3</t>
  </si>
  <si>
    <t>k_{R1}</t>
  </si>
  <si>
    <t>k_{R2}</t>
  </si>
  <si>
    <t>k_{R3}</t>
  </si>
  <si>
    <t>Pulse feed factor of reservoir 1</t>
  </si>
  <si>
    <t>Pulse feed factor of reservoir 2</t>
  </si>
  <si>
    <t>Pulse feed factor of reservoir 3</t>
  </si>
  <si>
    <t>FR3</t>
  </si>
  <si>
    <t>FR2</t>
  </si>
  <si>
    <t>FR1</t>
  </si>
  <si>
    <t>F_{R1}</t>
  </si>
  <si>
    <t>F_{R2}</t>
  </si>
  <si>
    <t>F_{R3}</t>
  </si>
  <si>
    <t>CCR1tot</t>
  </si>
  <si>
    <t>cOR1</t>
  </si>
  <si>
    <t>cS1R1</t>
  </si>
  <si>
    <t>cS2R1</t>
  </si>
  <si>
    <t>cS3R1</t>
  </si>
  <si>
    <t>cXR1</t>
  </si>
  <si>
    <t>CCR2tot</t>
  </si>
  <si>
    <t>cOR2</t>
  </si>
  <si>
    <t>cS1R2</t>
  </si>
  <si>
    <t>cS2R2</t>
  </si>
  <si>
    <t>cS3R2</t>
  </si>
  <si>
    <t>cXR2</t>
  </si>
  <si>
    <t>CCR3tot</t>
  </si>
  <si>
    <t>cOR3</t>
  </si>
  <si>
    <t>cS1R3</t>
  </si>
  <si>
    <t>cS2R3</t>
  </si>
  <si>
    <t>cS3R3</t>
  </si>
  <si>
    <t>cXR3</t>
  </si>
  <si>
    <t>C_{CR1tot}</t>
  </si>
  <si>
    <t>c_{OR1}</t>
  </si>
  <si>
    <t>C_{PR1tot}</t>
  </si>
  <si>
    <t>c_{S1R1}</t>
  </si>
  <si>
    <t>c_{S2R1}</t>
  </si>
  <si>
    <t>c_{S3R1}</t>
  </si>
  <si>
    <t>c_{XR1}</t>
  </si>
  <si>
    <t>C_{CR2tot}</t>
  </si>
  <si>
    <t>c_{OR2}</t>
  </si>
  <si>
    <t>C_{PR2tot}</t>
  </si>
  <si>
    <t>c_{S1R2}</t>
  </si>
  <si>
    <t>c_{S2R2}</t>
  </si>
  <si>
    <t>c_{S3R2}</t>
  </si>
  <si>
    <t>c_{XR2}</t>
  </si>
  <si>
    <t>C_{CR3tot}</t>
  </si>
  <si>
    <t>c_{OR3}</t>
  </si>
  <si>
    <t>C_{PR3tot}</t>
  </si>
  <si>
    <t>c_{S1R3}</t>
  </si>
  <si>
    <t>c_{S2R3}</t>
  </si>
  <si>
    <t>c_{S3R3}</t>
  </si>
  <si>
    <t>c_{XR3}</t>
  </si>
  <si>
    <t>yXpS1</t>
  </si>
  <si>
    <t>yXpS2</t>
  </si>
  <si>
    <t>yXpS3</t>
  </si>
  <si>
    <t>y_{X/S1}</t>
  </si>
  <si>
    <t>y_{X/S2}</t>
  </si>
  <si>
    <t>y_{X/S3}</t>
  </si>
  <si>
    <t>Cornelissen</t>
  </si>
  <si>
    <t>kappaind</t>
  </si>
  <si>
    <t>kS2ind</t>
  </si>
  <si>
    <t>kapparep</t>
  </si>
  <si>
    <t>kS1rep</t>
  </si>
  <si>
    <t>qS2pXscript</t>
  </si>
  <si>
    <t>aS2script</t>
  </si>
  <si>
    <t>qS2pXtrans</t>
  </si>
  <si>
    <t>aS2trans</t>
  </si>
  <si>
    <t>aS2act</t>
  </si>
  <si>
    <t>kI22</t>
  </si>
  <si>
    <t>VR1in</t>
  </si>
  <si>
    <t>VR2in</t>
  </si>
  <si>
    <t>VR3in</t>
  </si>
  <si>
    <t>V_{R1in}</t>
  </si>
  <si>
    <t>V_{R2in}</t>
  </si>
  <si>
    <t>V_{R3in}</t>
  </si>
  <si>
    <t>cP1X</t>
  </si>
  <si>
    <t>c_{P1X}</t>
  </si>
  <si>
    <t>cP1L</t>
  </si>
  <si>
    <t>c_{P1L}</t>
  </si>
  <si>
    <t>qS2pXact</t>
  </si>
  <si>
    <t>qS2pXsup</t>
  </si>
  <si>
    <t>Order of limitation</t>
  </si>
  <si>
    <t>Order of turn-off</t>
  </si>
  <si>
    <t>Turn-off concentration</t>
  </si>
  <si>
    <t>Turn-on concentration</t>
  </si>
  <si>
    <t>Genetic AOX potential</t>
  </si>
  <si>
    <t>Inhibition of methanol uptake in presence of glycerol</t>
  </si>
  <si>
    <t>Substrate limitation constant methanol</t>
  </si>
  <si>
    <t>\kappa_{ind}</t>
  </si>
  <si>
    <t>\kappa_{rep}</t>
  </si>
  <si>
    <t>k_{S2ind}</t>
  </si>
  <si>
    <t>k_{S1rep}</t>
  </si>
  <si>
    <t>q_{S2/Xsup}</t>
  </si>
  <si>
    <t>a_{S2script}</t>
  </si>
  <si>
    <t>a_{S2trans}</t>
  </si>
  <si>
    <t>a_{S2act}</t>
  </si>
  <si>
    <t>k_{I22}</t>
  </si>
  <si>
    <t>q_{S2/Xscript}</t>
  </si>
  <si>
    <t>q_{S2/Xtrans}</t>
  </si>
  <si>
    <t>q_{S2/Xact}</t>
  </si>
  <si>
    <t>Pichia induction/protein expression</t>
  </si>
  <si>
    <t>KCP1script</t>
  </si>
  <si>
    <t>Regulator amplification of the transcription regulator</t>
  </si>
  <si>
    <t>K_{CP1script}</t>
  </si>
  <si>
    <t>aP1script</t>
  </si>
  <si>
    <t>aP1trans</t>
  </si>
  <si>
    <t>kP1alpha</t>
  </si>
  <si>
    <t>k_{P1\alpha}</t>
  </si>
  <si>
    <t>a_{P1script}</t>
  </si>
  <si>
    <t>a_{P1trans}</t>
  </si>
  <si>
    <t>qP1pXsup</t>
  </si>
  <si>
    <t>qP1pXmax</t>
  </si>
  <si>
    <t>TIP1script</t>
  </si>
  <si>
    <t>q_{P1/Xsup}</t>
  </si>
  <si>
    <t>q_{P1/Xmax}</t>
  </si>
  <si>
    <t>T_{IP1script}</t>
  </si>
  <si>
    <t>g/gh</t>
  </si>
  <si>
    <t>qS2pX</t>
  </si>
  <si>
    <t>qP1pXscript</t>
  </si>
  <si>
    <t>qP1pXtrans</t>
  </si>
  <si>
    <t>qP1pXact</t>
  </si>
  <si>
    <t>qP1pX</t>
  </si>
  <si>
    <t>q_{S2/X}</t>
  </si>
  <si>
    <t>q_{P1/Xscript}</t>
  </si>
  <si>
    <t>q_{P1/Xtrans}</t>
  </si>
  <si>
    <t>q_{P1/Xact}</t>
  </si>
  <si>
    <t>q_{P1/X}</t>
  </si>
  <si>
    <t>AOX induction</t>
  </si>
  <si>
    <t>Protein expression</t>
  </si>
  <si>
    <t>Maximum specific growth rate glycerol (my1max Cornelissen)</t>
  </si>
  <si>
    <t>Yuma</t>
  </si>
  <si>
    <t>yP1pS1</t>
  </si>
  <si>
    <t>yP1pS2</t>
  </si>
  <si>
    <t>yP1pS3</t>
  </si>
  <si>
    <t>Concentration of cells in glycerol reservoir</t>
  </si>
  <si>
    <t>Concentration of cells in methanol reservoir</t>
  </si>
  <si>
    <t>Gylcerin concentration in reservoir 1</t>
  </si>
  <si>
    <t>Gylcerin concentration in reservoir 2</t>
  </si>
  <si>
    <t>Gylcerin concentration in reservoir 3</t>
  </si>
  <si>
    <t>Methanol concentration in reservoir1</t>
  </si>
  <si>
    <t>Methanol concentration in reservoir 2</t>
  </si>
  <si>
    <t>Methanol concentration in reservoir 3</t>
  </si>
  <si>
    <t>Molar mass of product eGFP</t>
  </si>
  <si>
    <t>Spcific substrate maintenance rate methanol</t>
  </si>
  <si>
    <t>Product yield coefficient glycerol</t>
  </si>
  <si>
    <t>Product yield coefficient methanol, here AOX induction dependend</t>
  </si>
  <si>
    <t>Inhibition of product production due to O2</t>
  </si>
  <si>
    <t>k_{IP1O}</t>
  </si>
  <si>
    <t>kIP1O</t>
  </si>
  <si>
    <t>MP1</t>
  </si>
  <si>
    <t>Yield coefficient of gram cells per gram methanol</t>
  </si>
  <si>
    <t>Yield coefficient of gram cells per gram glycerol</t>
  </si>
  <si>
    <t>Cornelissen, yX/S1max</t>
  </si>
  <si>
    <t>Substrate growth yield coefficient methanol</t>
  </si>
  <si>
    <t>adapted</t>
  </si>
  <si>
    <t>Lowered, since Pichia can withstand lower pH</t>
  </si>
  <si>
    <t>Changed to process standard</t>
  </si>
  <si>
    <t>Estimated, change later</t>
  </si>
  <si>
    <t>adapted, change later</t>
  </si>
  <si>
    <t>qP1pXind</t>
  </si>
  <si>
    <t>qS2pXind</t>
  </si>
  <si>
    <t>q_{S2/Xind}</t>
  </si>
  <si>
    <t>q_{P1/Xind}</t>
  </si>
  <si>
    <t>qP1pXback</t>
  </si>
  <si>
    <t>q_{P1/Xback}</t>
  </si>
  <si>
    <t>qP1pXscriptw</t>
  </si>
  <si>
    <t>q_{P1/Xscriptw}</t>
  </si>
  <si>
    <t>Concentration of product in glycerol reservoir</t>
  </si>
  <si>
    <t>Concentration of product in methanol reservoir</t>
  </si>
  <si>
    <t>KP_feedR1</t>
  </si>
  <si>
    <t>KD_{feedR1}</t>
  </si>
  <si>
    <t>KI_feedR1</t>
  </si>
  <si>
    <t>KD_feedR1</t>
  </si>
  <si>
    <t>KP_feedR2</t>
  </si>
  <si>
    <t>KI_feedR2</t>
  </si>
  <si>
    <t>KD_feedR2</t>
  </si>
  <si>
    <t>KP_feedR3</t>
  </si>
  <si>
    <t>KI_feedR3</t>
  </si>
  <si>
    <t>KD_feedR3</t>
  </si>
  <si>
    <t>KI_{feedR1}</t>
  </si>
  <si>
    <t>KP_{feedR1}</t>
  </si>
  <si>
    <t>KP_{feedR2}</t>
  </si>
  <si>
    <t>KI_{feedR2}</t>
  </si>
  <si>
    <t>KD_{feedR2}</t>
  </si>
  <si>
    <t>KP_{feedR3}</t>
  </si>
  <si>
    <t>KI_{feedR3}</t>
  </si>
  <si>
    <t>KD_{feedR3}</t>
  </si>
  <si>
    <t>Gain of P part of feed controller of reservoir 1</t>
  </si>
  <si>
    <t>Gain of I part of feed controller of reservoir 1</t>
  </si>
  <si>
    <t>Gain of D part of feed controller of reservoir 1</t>
  </si>
  <si>
    <t>Gain of P part of feed controller of reservoir 2</t>
  </si>
  <si>
    <t>Gain of I part of feed controller of reservoir 2</t>
  </si>
  <si>
    <t>Gain of D part of feed controller of reservoir 2</t>
  </si>
  <si>
    <t>R_feed</t>
  </si>
  <si>
    <t>Feed control reservoir index</t>
  </si>
  <si>
    <t>R_{Feed}</t>
  </si>
  <si>
    <t>Feed control mode (1: feed control, 0: manual)</t>
  </si>
  <si>
    <t>cS1Lw</t>
  </si>
  <si>
    <t>c_{S1Lw}</t>
  </si>
  <si>
    <t>cS2Lw</t>
  </si>
  <si>
    <t>cS3Lw</t>
  </si>
  <si>
    <t>c_{S3Lw}</t>
  </si>
  <si>
    <t>c_{S2Lw}</t>
  </si>
  <si>
    <t>Substrate concentration setpoint for reservoir 1</t>
  </si>
  <si>
    <t>Substrate concentration setpoint for reservoir 2</t>
  </si>
  <si>
    <t>FR1w</t>
  </si>
  <si>
    <t>FR2w</t>
  </si>
  <si>
    <t>FR3w</t>
  </si>
  <si>
    <t>F_{R1w}</t>
  </si>
  <si>
    <t>F_{R2w}</t>
  </si>
  <si>
    <t>F_{R3w}</t>
  </si>
  <si>
    <t>Pump rate setpoint for reservoir 1</t>
  </si>
  <si>
    <t>Pump rate setpoint for reservoir 2</t>
  </si>
  <si>
    <t>Feed_{Mode}</t>
  </si>
  <si>
    <t>Mode_temp</t>
  </si>
  <si>
    <t>Mode_pH</t>
  </si>
  <si>
    <t>Mode_pO2</t>
  </si>
  <si>
    <t>Mode_harvest</t>
  </si>
  <si>
    <t>harvest(LW)_{Mode}</t>
  </si>
  <si>
    <t>Mode_feed</t>
  </si>
  <si>
    <t>KP_feedpO2</t>
  </si>
  <si>
    <t>KI_feedpO2</t>
  </si>
  <si>
    <t>KD_feedpO2</t>
  </si>
  <si>
    <t>cP1R3tot</t>
  </si>
  <si>
    <t>cP1X0</t>
  </si>
  <si>
    <t>cP1L0</t>
  </si>
  <si>
    <t>c_{P1X0}</t>
  </si>
  <si>
    <t>c_{P1L0}</t>
  </si>
  <si>
    <t>Product concentration in liquid at t = 0 h</t>
  </si>
  <si>
    <t>Product concentration in cells at t = 0 h</t>
  </si>
  <si>
    <t>taupO2</t>
  </si>
  <si>
    <t>taucS1L</t>
  </si>
  <si>
    <t>taucS2L</t>
  </si>
  <si>
    <t>taucS3L</t>
  </si>
  <si>
    <t>taupHL</t>
  </si>
  <si>
    <t>tauthetaL</t>
  </si>
  <si>
    <t>\tau_{pO_2}</t>
  </si>
  <si>
    <t>\tau_{pH_L}</t>
  </si>
  <si>
    <t>\tau_{c_{S1L}}</t>
  </si>
  <si>
    <t>\tau_{c_{S2L}}</t>
  </si>
  <si>
    <t>\tau_{c_{S3L}}</t>
  </si>
  <si>
    <t>\vartheta_{U}</t>
  </si>
  <si>
    <t>\vartheta_{Cin}</t>
  </si>
  <si>
    <t>\vartheta_{Hin}</t>
  </si>
  <si>
    <t>\tau_{\vartheta_L}</t>
  </si>
  <si>
    <t>\vartheta_{DJ_WP}</t>
  </si>
  <si>
    <t>\vartheta_{Lmaxgr}</t>
  </si>
  <si>
    <t>\vartheta_{Lmingr}</t>
  </si>
  <si>
    <t>\vartheta_{Loptgr}</t>
  </si>
  <si>
    <t>cS1Lm</t>
  </si>
  <si>
    <t>cS2Lm</t>
  </si>
  <si>
    <t>cS3Lm</t>
  </si>
  <si>
    <t>c_{S1Lm}</t>
  </si>
  <si>
    <t>c_{S2Lm}</t>
  </si>
  <si>
    <t>c_{S3Lm}</t>
  </si>
  <si>
    <t>ApH</t>
  </si>
  <si>
    <t>BpH</t>
  </si>
  <si>
    <t>CpH</t>
  </si>
  <si>
    <t>DpH</t>
  </si>
  <si>
    <t>EpH</t>
  </si>
  <si>
    <t>FpH</t>
  </si>
  <si>
    <t>GpH</t>
  </si>
  <si>
    <t>HpH</t>
  </si>
  <si>
    <t>IpH</t>
  </si>
  <si>
    <t>numReservoir</t>
  </si>
  <si>
    <t>HO2</t>
  </si>
  <si>
    <t>HCO2</t>
  </si>
  <si>
    <t>cCL</t>
  </si>
  <si>
    <t>CTRmax</t>
  </si>
  <si>
    <t>cCLmax</t>
  </si>
  <si>
    <t>StC</t>
  </si>
  <si>
    <t>xCL</t>
  </si>
  <si>
    <t>property</t>
  </si>
  <si>
    <t>thetaTc</t>
  </si>
  <si>
    <t>thetaDU</t>
  </si>
  <si>
    <t>ToI</t>
  </si>
  <si>
    <t>inoc_occ</t>
  </si>
  <si>
    <t>mySm</t>
  </si>
  <si>
    <t>myOm</t>
  </si>
  <si>
    <t>qS1pXmax</t>
  </si>
  <si>
    <t>qS2pXmax</t>
  </si>
  <si>
    <t>qS3pXmax</t>
  </si>
  <si>
    <t>qOpXmax</t>
  </si>
  <si>
    <t>pGw</t>
  </si>
  <si>
    <t>cCLmax0</t>
  </si>
  <si>
    <t>Column1</t>
  </si>
  <si>
    <t>variableID2</t>
  </si>
  <si>
    <t>variableID23</t>
  </si>
  <si>
    <t>visible4</t>
  </si>
  <si>
    <t>upload_rate5</t>
  </si>
  <si>
    <t>Initial_assignment7</t>
  </si>
  <si>
    <t>never</t>
  </si>
  <si>
    <t>variableID3</t>
  </si>
  <si>
    <t>selected_variable</t>
  </si>
  <si>
    <t>KP1</t>
  </si>
  <si>
    <t>M_{P1}</t>
  </si>
  <si>
    <t>Modes</t>
  </si>
  <si>
    <t>modesID</t>
  </si>
  <si>
    <t>index</t>
  </si>
  <si>
    <t>mode</t>
  </si>
  <si>
    <t>Auto</t>
  </si>
  <si>
    <t>Manual</t>
  </si>
  <si>
    <t>Feed Control</t>
  </si>
  <si>
    <t>Harvest</t>
  </si>
  <si>
    <t>pO2-Agitation</t>
  </si>
  <si>
    <t>pO2-Aeration</t>
  </si>
  <si>
    <t>pO2-Gasmix</t>
  </si>
  <si>
    <t>pO2-Feed</t>
  </si>
  <si>
    <t>Feed control mode (1: Feed Control, 0: Manual)</t>
  </si>
  <si>
    <t>Liquid weight harvest mode (1: Harvest, 0: Manual)</t>
  </si>
  <si>
    <t>pH control mode (1: Auto, 0: Manual)</t>
  </si>
  <si>
    <t>Temperature control mode (1: Auto, 0: Manual)</t>
  </si>
  <si>
    <t>pO2 control mode (1: pO2-Agitation, 2: pO2-Aeration, 3: pO2-Gasmix, 4: pO2-Feed, 0: Manual)</t>
  </si>
  <si>
    <t>dropdown</t>
  </si>
  <si>
    <t>min_limit</t>
  </si>
  <si>
    <t>max_limit</t>
  </si>
  <si>
    <t>min_limit2</t>
  </si>
  <si>
    <t>max_limit2</t>
  </si>
  <si>
    <t>min^{-1}</t>
  </si>
  <si>
    <t>nm^{-2}</t>
  </si>
  <si>
    <t>gmol^{-1}</t>
  </si>
  <si>
    <t>hkg^{-1]K^{-1}</t>
  </si>
  <si>
    <t>kJkg^{-1}</t>
  </si>
  <si>
    <t>Nsm^{-2}</t>
  </si>
  <si>
    <t>Nmkg^{-1}</t>
  </si>
  <si>
    <t>°C^{-1}</t>
  </si>
  <si>
    <t>°C^{-2}</t>
  </si>
  <si>
    <t>°C^{-3}</t>
  </si>
  <si>
    <t>°C^{-4}</t>
  </si>
  <si>
    <t>kgh^{-1}</t>
  </si>
  <si>
    <t>Nm^{-2}</t>
  </si>
  <si>
    <t>Nmkmol^{-1}K^{-1}</t>
  </si>
  <si>
    <t>lmol^{-1}</t>
  </si>
  <si>
    <t>ghl^{-1}</t>
  </si>
  <si>
    <t>lg^{-1}</t>
  </si>
  <si>
    <t>lg^{-1}h^{-1}</t>
  </si>
  <si>
    <t>gg^{-1}h^{-1}</t>
  </si>
  <si>
    <t>m^{2}</t>
  </si>
  <si>
    <t>Wm^{-2}K^{-1}</t>
  </si>
  <si>
    <t>Whkg^{-1}K^{-1}</t>
  </si>
  <si>
    <t>Whg^{-1}</t>
  </si>
  <si>
    <t>Wmin^3l^{-1}</t>
  </si>
  <si>
    <t>Wm^{-1}K^{-1}</t>
  </si>
  <si>
    <t>kgm^{-3}</t>
  </si>
  <si>
    <t>kgl^{-1}</t>
  </si>
  <si>
    <t>m^{-3}</t>
  </si>
  <si>
    <t>internal_order</t>
  </si>
  <si>
    <t>external_order</t>
  </si>
  <si>
    <t>propertyID1</t>
  </si>
  <si>
    <t>propertyID2</t>
  </si>
  <si>
    <t>kS2tox</t>
  </si>
  <si>
    <t>kappatox</t>
  </si>
  <si>
    <t>k_{S2tox}</t>
  </si>
  <si>
    <t>\kappa_{tox}</t>
  </si>
  <si>
    <t>Methanol toxicity concentration [5%v/v]</t>
  </si>
  <si>
    <t>Slope of toxicity turn on function</t>
  </si>
  <si>
    <t>qXpXtox</t>
  </si>
  <si>
    <t>q_{X/Xtox}</t>
  </si>
  <si>
    <t>q_{X/X3w}</t>
  </si>
  <si>
    <t>q_{S3/Xm}</t>
  </si>
  <si>
    <t>Methanol death rate</t>
  </si>
  <si>
    <t>app.p.cXL0</t>
  </si>
  <si>
    <t>app.p.cS1L0</t>
  </si>
  <si>
    <t>app.p.cS3L0</t>
  </si>
  <si>
    <t>app.p.pO20</t>
  </si>
  <si>
    <t>app.p.NStw</t>
  </si>
  <si>
    <t>app.p.FnAIRw</t>
  </si>
  <si>
    <t>app.p.FnO2w</t>
  </si>
  <si>
    <t>app.p.FnN2w</t>
  </si>
  <si>
    <t>app.p.FnCO2w</t>
  </si>
  <si>
    <t>app.p.pH0</t>
  </si>
  <si>
    <t>app.p.cS2L0</t>
  </si>
  <si>
    <t>app.p.thetaL0</t>
  </si>
  <si>
    <t>app.p.pGcal+app.p.deltapGw*10^5</t>
  </si>
  <si>
    <t>app.p.xOGcal</t>
  </si>
  <si>
    <t>app.p.xCGcal</t>
  </si>
  <si>
    <t>app.p.xOL0</t>
  </si>
  <si>
    <t>(app.p.pO20/100)*app.p.cOL100</t>
  </si>
  <si>
    <t>app.p.kLamin+app.p.kLamax*((app.p.FnGw/app.p.FnGmax)^app.p.beta)*((app.p.NStw/app.p.NStmax)^(3*app.p.alpha))/((app.p.VL0/app.p.VLmin)^app.p.alpha)</t>
  </si>
  <si>
    <t>app.p.FHrelw/100*app.p.Fhmax</t>
  </si>
  <si>
    <t>app.p.CAlLtot0</t>
  </si>
  <si>
    <t>app.p.VL0</t>
  </si>
  <si>
    <t>app.p.VT10</t>
  </si>
  <si>
    <t>app.p.VT20</t>
  </si>
  <si>
    <t>app.p.FT10</t>
  </si>
  <si>
    <t>app.p.FT20</t>
  </si>
  <si>
    <t>app.p.CAcLtot0</t>
  </si>
  <si>
    <t>(1+app.p.KC1*10^app.p.pH0+app.p.KC1*app.p.KC2*10^(2*app.p.pH0))*app.p.xCAIR*app.p.cCLmax0/app.p.MCO2</t>
  </si>
  <si>
    <t>app.p.CB1Ltot0</t>
  </si>
  <si>
    <t>app.p.CB2Ltot0</t>
  </si>
  <si>
    <t>app.p.thetaD0</t>
  </si>
  <si>
    <t>app.p.FR1w</t>
  </si>
  <si>
    <t>app.p.FR2w</t>
  </si>
  <si>
    <t>app.p.FR3w</t>
  </si>
  <si>
    <t>app.v.FnAIR(1)+app.v.FnO2(1)+app.v.FnN2(1)+app.v.FnCO2(1)</t>
  </si>
  <si>
    <t>app.v.FnG(1)*60*app.p.MO2/(app.v.VL(1)*app.p.VnM)</t>
  </si>
  <si>
    <t>app.v.QO2max(1)*app.p.MCO2/app.p.MO2</t>
  </si>
  <si>
    <t>app.v.OTRmax(end)*(app.p.xOAIR-app.v.cOL(end)/app.p.cOLmax)</t>
  </si>
  <si>
    <t>app.p.VR10</t>
  </si>
  <si>
    <t>app.p.VR20</t>
  </si>
  <si>
    <t>app.p.VR30</t>
  </si>
  <si>
    <t>app.p.cP1X0</t>
  </si>
  <si>
    <t>app.p.cP1L0</t>
  </si>
  <si>
    <t>cP1R1</t>
  </si>
  <si>
    <t>cP1R2</t>
  </si>
  <si>
    <t>t1j</t>
  </si>
  <si>
    <t>t2j</t>
  </si>
  <si>
    <t>t3j</t>
  </si>
  <si>
    <t>cXL1j</t>
  </si>
  <si>
    <t>cXL2j</t>
  </si>
  <si>
    <t>cXL3j</t>
  </si>
  <si>
    <t>t_{1j}</t>
  </si>
  <si>
    <t>t_{3j}</t>
  </si>
  <si>
    <t>t_{2j}</t>
  </si>
  <si>
    <t>c_{XL1j}</t>
  </si>
  <si>
    <t>c_{XL3j}</t>
  </si>
  <si>
    <t>c_{XL2j}</t>
  </si>
  <si>
    <t>uneditable</t>
  </si>
  <si>
    <t>Maximum specific growth rate methanol (listed but irrelevant)</t>
  </si>
  <si>
    <t>QS1in</t>
  </si>
  <si>
    <t>QS2in</t>
  </si>
  <si>
    <t>QS3in</t>
  </si>
  <si>
    <t>Q_{S1in}</t>
  </si>
  <si>
    <t>Q_{S2in}</t>
  </si>
  <si>
    <t>Q_{S3in}</t>
  </si>
  <si>
    <t>(app.v.FR1(end)*app.p.cS2R1+app.v.FR2(end)*app.p.cS2R2)/app.v.VL(end)</t>
  </si>
  <si>
    <t>(app.v.FR1(end)*app.p.cS1R1+app.v.FR2(end)*app.p.cS1R2)/app.v.VL(end);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</si>
</sst>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11" fontId="0" fillId="0" borderId="0" xfId="0" applyNumberFormat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4" fillId="4" borderId="2" xfId="0" applyFont="1" applyFill="1" applyBorder="1"/>
    <xf numFmtId="0" fontId="5" fillId="0" borderId="0" xfId="0" applyFont="1"/>
    <xf numFmtId="0" fontId="0" fillId="0" borderId="3" xfId="0" applyBorder="1"/>
    <xf numFmtId="0" fontId="0" fillId="5" borderId="0" xfId="0" applyFill="1"/>
    <xf numFmtId="0" fontId="0" fillId="5" borderId="3" xfId="0" applyFill="1" applyBorder="1"/>
    <xf numFmtId="0" fontId="0" fillId="6" borderId="0" xfId="0" applyFill="1"/>
    <xf numFmtId="0" fontId="0" fillId="6" borderId="3" xfId="0" applyFill="1" applyBorder="1"/>
    <xf numFmtId="164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3" borderId="0" xfId="0" applyNumberFormat="1" applyFill="1"/>
    <xf numFmtId="0" fontId="0" fillId="2" borderId="0" xfId="0" applyNumberFormat="1" applyFill="1"/>
    <xf numFmtId="0" fontId="0" fillId="5" borderId="0" xfId="0" applyFont="1" applyFill="1" applyBorder="1"/>
    <xf numFmtId="0" fontId="0" fillId="2" borderId="3" xfId="0" applyNumberFormat="1" applyFont="1" applyFill="1" applyBorder="1"/>
    <xf numFmtId="0" fontId="0" fillId="5" borderId="0" xfId="0" applyFill="1" applyBorder="1"/>
    <xf numFmtId="0" fontId="0" fillId="2" borderId="4" xfId="0" applyNumberFormat="1" applyFont="1" applyFill="1" applyBorder="1"/>
    <xf numFmtId="0" fontId="0" fillId="3" borderId="0" xfId="0" applyFill="1" applyBorder="1"/>
    <xf numFmtId="0" fontId="0" fillId="3" borderId="0" xfId="0" applyNumberFormat="1" applyFill="1" applyBorder="1"/>
    <xf numFmtId="0" fontId="0" fillId="6" borderId="0" xfId="0" applyFill="1" applyBorder="1"/>
    <xf numFmtId="0" fontId="6" fillId="0" borderId="0" xfId="0" applyFont="1" applyAlignment="1">
      <alignment horizontal="left" vertical="center" indent="3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00"/>
      <fill>
        <patternFill patternType="solid">
          <fgColor indexed="64"/>
          <bgColor theme="9" tint="0.79998168889431442"/>
        </patternFill>
      </fill>
    </dxf>
    <dxf>
      <numFmt numFmtId="164" formatCode="00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3E837E-95E1-4BFA-812B-52B60B0F51A2}" name="Tabelle2" displayName="Tabelle2" ref="A2:X325" totalsRowShown="0">
  <autoFilter ref="A2:X325" xr:uid="{F63E837E-95E1-4BFA-812B-52B60B0F51A2}"/>
  <sortState xmlns:xlrd2="http://schemas.microsoft.com/office/spreadsheetml/2017/richdata2" ref="A3:X313">
    <sortCondition ref="A2:A313"/>
  </sortState>
  <tableColumns count="24">
    <tableColumn id="14" xr3:uid="{0F764C0A-4BD4-4EA9-BABA-2D865685344C}" name="propertyID" dataDxfId="49"/>
    <tableColumn id="2" xr3:uid="{35FAC6C2-DD18-4653-A891-DEAF49F667DC}" name="category"/>
    <tableColumn id="3" xr3:uid="{E8C7FFEA-F56B-4B9C-ADFB-CF0703C3C67E}" name="name"/>
    <tableColumn id="4" xr3:uid="{D439BCC5-41E5-4302-BBE0-32DBEA2660C5}" name="tex"/>
    <tableColumn id="6" xr3:uid="{A059105E-A94D-4E7B-97F0-0C480179B865}" name="unit"/>
    <tableColumn id="19" xr3:uid="{31F708AC-9F48-4B05-BA68-EBA1DAAA9710}" name="tex_unit" dataDxfId="48"/>
    <tableColumn id="10" xr3:uid="{FFA41ADC-9895-4768-9B94-AA24E6312862}" name="type"/>
    <tableColumn id="18" xr3:uid="{CD987CE8-22C0-F449-AB8D-A557257117C4}" name="internal_order" dataDxfId="47"/>
    <tableColumn id="22" xr3:uid="{19E828BB-1542-4531-9986-322BFBB7EB11}" name="external_order" dataDxfId="46">
      <calculatedColumnFormula>Tabelle2[[#This Row],[category]]&amp;TEXT(Tabelle2[[#This Row],[internal_order]],"00")</calculatedColumnFormula>
    </tableColumn>
    <tableColumn id="13" xr3:uid="{6AC45D88-B345-CA45-872B-9CF2944517E3}" name="organismID2" dataDxfId="45"/>
    <tableColumn id="24" xr3:uid="{FB8A34B1-0CAB-487F-A753-39953DBE1D1B}" name="propertyID2" dataDxfId="44">
      <calculatedColumnFormula>Tabelle2[[#This Row],[propertyID]]</calculatedColumnFormula>
    </tableColumn>
    <tableColumn id="11" xr3:uid="{37751270-FD6A-4C0B-940B-8BEC19A41C43}" name="value2" dataDxfId="43"/>
    <tableColumn id="12" xr3:uid="{E1F246C7-6A61-4005-8F0E-5853C23772A8}" name="description2" dataDxfId="42"/>
    <tableColumn id="9" xr3:uid="{21057D5C-6FE9-45AB-90D7-BE217DDC785C}" name="Comments"/>
    <tableColumn id="1" xr3:uid="{26909C86-7383-0B4F-BC75-CE2C5DA56917}" name="organismID1" dataDxfId="41"/>
    <tableColumn id="23" xr3:uid="{05E27ABC-F812-4A4B-AB51-C7A784B96A10}" name="propertyID1" dataDxfId="40">
      <calculatedColumnFormula>Tabelle2[[#This Row],[propertyID]]</calculatedColumnFormula>
    </tableColumn>
    <tableColumn id="5" xr3:uid="{28318063-68EB-45F5-ABE5-E0D48D9F7A00}" name="value1" dataDxfId="39"/>
    <tableColumn id="7" xr3:uid="{92C4B9BD-230E-48B3-BBCA-00F0172278FF}" name="description1" dataDxfId="38"/>
    <tableColumn id="8" xr3:uid="{E40F7858-38DA-4DFF-93DA-424E5CE2586E}" name="Categories"/>
    <tableColumn id="15" xr3:uid="{94BCD50D-7A30-42A5-B49B-8B6AF28ED67C}" name="Column1" dataDxfId="37"/>
    <tableColumn id="16" xr3:uid="{CC7FBCB4-8FA2-1542-8CC8-0D6D4D300462}" name="min_limit" dataDxfId="36"/>
    <tableColumn id="17" xr3:uid="{448528B7-D853-FE49-B37B-BB0B5300E31A}" name="max_limit" dataDxfId="35"/>
    <tableColumn id="20" xr3:uid="{1365E08E-5711-4121-B9F9-068D3D8EAF12}" name="min_limit2" dataDxfId="34"/>
    <tableColumn id="21" xr3:uid="{AFDD2A7E-4052-41FC-83ED-C715A538012D}" name="max_limit2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BD0BCC-66AF-4715-8C9E-E61BD45E5828}" name="Table11" displayName="Table11" ref="A1:D14" totalsRowShown="0">
  <autoFilter ref="A1:D14" xr:uid="{C8BD0BCC-66AF-4715-8C9E-E61BD45E5828}"/>
  <sortState xmlns:xlrd2="http://schemas.microsoft.com/office/spreadsheetml/2017/richdata2" ref="A2:D14">
    <sortCondition ref="B1:B14"/>
  </sortState>
  <tableColumns count="4">
    <tableColumn id="1" xr3:uid="{F464651A-6074-4289-A386-FDCBCDE20E97}" name="modesID"/>
    <tableColumn id="2" xr3:uid="{9E7B462D-54B0-46DC-9507-A2B8A5700B4C}" name="propertyID"/>
    <tableColumn id="3" xr3:uid="{87432FB1-961C-4936-A0E8-1D4CAD97D514}" name="index"/>
    <tableColumn id="4" xr3:uid="{0228755B-865E-4362-B174-1B18717E8D1A}" name="m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690222-7FA0-014E-A769-3338F2C196DD}" name="Table12" displayName="Table12" ref="A1:A56" totalsRowShown="0">
  <autoFilter ref="A1:A56" xr:uid="{F4690222-7FA0-014E-A769-3338F2C196DD}"/>
  <sortState xmlns:xlrd2="http://schemas.microsoft.com/office/spreadsheetml/2017/richdata2" ref="A2:A54">
    <sortCondition ref="A1:A97"/>
  </sortState>
  <tableColumns count="1">
    <tableColumn id="1" xr3:uid="{3944901D-78FA-7449-9227-85E5A6376871}" name="proper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CF637-200E-47D2-8BE9-51366DEDBD1F}" name="Tabelle3" displayName="Tabelle3" ref="A1:Y84" totalsRowShown="0" headerRowDxfId="32" dataDxfId="31">
  <autoFilter ref="A1:Y84" xr:uid="{35CCF637-200E-47D2-8BE9-51366DEDBD1F}"/>
  <sortState xmlns:xlrd2="http://schemas.microsoft.com/office/spreadsheetml/2017/richdata2" ref="A2:Y80">
    <sortCondition ref="A1:A80"/>
  </sortState>
  <tableColumns count="25">
    <tableColumn id="1" xr3:uid="{892AF000-B76B-404E-BE62-B211AD05B7AB}" name="variableID" dataDxfId="30"/>
    <tableColumn id="2" xr3:uid="{98933382-9F8F-47AB-B7DB-9CAB8ED54D73}" name="name" dataDxfId="29"/>
    <tableColumn id="3" xr3:uid="{D56CE53E-4B5A-4FA8-843F-33C21096BF51}" name="shorttex" dataDxfId="28"/>
    <tableColumn id="4" xr3:uid="{B86534B4-9323-47E3-8D14-6BE966545DAD}" name="longtex" dataDxfId="27"/>
    <tableColumn id="5" xr3:uid="{9BFFBAE6-4AD6-472D-A81C-0205ACDED4D4}" name="unit" dataDxfId="26"/>
    <tableColumn id="16" xr3:uid="{BE364EB6-20E3-46A0-B066-8EEBBE29C3EA}" name="tex_unit" dataDxfId="25"/>
    <tableColumn id="6" xr3:uid="{3E5B4A98-DF73-4B1B-AB1D-1414FA69BA8F}" name="description" dataDxfId="24"/>
    <tableColumn id="27" xr3:uid="{F676D261-F668-40E3-82E6-B0D2EA66FDD2}" name="variableID3" dataDxfId="23">
      <calculatedColumnFormula>Tabelle3[[#This Row],[variableID]]</calculatedColumnFormula>
    </tableColumn>
    <tableColumn id="28" xr3:uid="{02261743-AE1F-4E20-84FA-E2909918C44A}" name="selected_variable" dataDxfId="22"/>
    <tableColumn id="17" xr3:uid="{34783F1E-AFE8-49D6-9D4D-436D10AD6C0B}" name="limit_type" dataDxfId="21"/>
    <tableColumn id="18" xr3:uid="{ACE4E57F-96E7-4640-9BA0-59F611D02272}" name="ymin" dataDxfId="20"/>
    <tableColumn id="19" xr3:uid="{11EE23AF-43E3-4890-BB92-CCF1344A2B16}" name="ymax" dataDxfId="19"/>
    <tableColumn id="21" xr3:uid="{25B10184-72AC-41AA-8CD2-F9A83B0F1D40}" name="decimalID" dataDxfId="18"/>
    <tableColumn id="22" xr3:uid="{38DCE741-B865-4537-A40F-873C7254AC57}" name="colorID" dataDxfId="17"/>
    <tableColumn id="23" xr3:uid="{99006542-B5E2-43F1-B6F2-915505E0734A}" name="linestyleID" dataDxfId="16"/>
    <tableColumn id="7" xr3:uid="{1B14D04F-7C8A-42ED-B155-76F4318820E7}" name="organismID" dataDxfId="15"/>
    <tableColumn id="12" xr3:uid="{E16EDC82-A001-4A54-AB2B-BE500DB4A373}" name="variableID2" dataDxfId="14">
      <calculatedColumnFormula>Tabelle3[[#This Row],[variableID]]</calculatedColumnFormula>
    </tableColumn>
    <tableColumn id="9" xr3:uid="{6228FE02-815C-434F-B015-F7BB841456DC}" name="visible" dataDxfId="13"/>
    <tableColumn id="8" xr3:uid="{C1F21B7B-866E-4DBE-A545-40E3B2487212}" name="upload_rate" dataDxfId="12"/>
    <tableColumn id="11" xr3:uid="{5B8A5AAD-A85D-42AE-B043-182C3C15BC1B}" name="Initial_assignment" dataDxfId="11"/>
    <tableColumn id="13" xr3:uid="{51C341D1-265C-446C-9948-23F6AC0A00C0}" name="organismID2" dataDxfId="10"/>
    <tableColumn id="14" xr3:uid="{7EBC8DFB-EC09-451D-9200-5529274BA99A}" name="variableID23" dataDxfId="9">
      <calculatedColumnFormula>Tabelle3[[#This Row],[variableID]]</calculatedColumnFormula>
    </tableColumn>
    <tableColumn id="15" xr3:uid="{4973B4B9-37F7-4D59-B52F-B5292D0627D2}" name="visible4" dataDxfId="8"/>
    <tableColumn id="24" xr3:uid="{158B8CCC-D471-4BB3-A69D-02D0AE8FEC88}" name="upload_rate5" dataDxfId="7"/>
    <tableColumn id="26" xr3:uid="{2D73977C-DC40-4169-88AA-2CDC2A723486}" name="Initial_assignment7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A4EDB8-3E3E-42F5-B1A0-37EFD37E153F}" name="Tabelle10" displayName="Tabelle10" ref="A1:D20" totalsRowShown="0">
  <autoFilter ref="A1:D20" xr:uid="{D2A4EDB8-3E3E-42F5-B1A0-37EFD37E153F}"/>
  <sortState xmlns:xlrd2="http://schemas.microsoft.com/office/spreadsheetml/2017/richdata2" ref="A2:D20">
    <sortCondition ref="A1:A20"/>
  </sortState>
  <tableColumns count="4">
    <tableColumn id="1" xr3:uid="{C691A4DE-7522-4630-A1BB-B72786F6B35B}" name="categoryID"/>
    <tableColumn id="2" xr3:uid="{FAE04803-53D2-41CE-A492-D8EDF1F1A882}" name="name"/>
    <tableColumn id="3" xr3:uid="{7168E490-6332-4755-9DED-77BF17297B74}" name="section"/>
    <tableColumn id="4" xr3:uid="{B44DB3AB-B973-4064-8AEF-26C8F39925F6}" name="reading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AD1AC-9864-46F9-9166-9456CA13EB3E}" name="Tabelle1" displayName="Tabelle1" ref="A1:H242" totalsRowShown="0">
  <autoFilter ref="A1:H242" xr:uid="{545AD1AC-9864-46F9-9166-9456CA13EB3E}">
    <filterColumn colId="7">
      <filters>
        <filter val="Instrumentation"/>
        <filter val="Temperature control"/>
        <filter val="Vessel"/>
      </filters>
    </filterColumn>
  </autoFilter>
  <sortState xmlns:xlrd2="http://schemas.microsoft.com/office/spreadsheetml/2017/richdata2" ref="A2:H242">
    <sortCondition ref="A1:A242"/>
  </sortState>
  <tableColumns count="8">
    <tableColumn id="1" xr3:uid="{09F83D4C-DF70-4120-B313-978CD5DD442D}" name="propertyID"/>
    <tableColumn id="2" xr3:uid="{1A676ABF-FA1D-40E1-BAB2-3AD7C0CC53E3}" name="category"/>
    <tableColumn id="3" xr3:uid="{8890B21D-A957-4C5E-BF29-58C36E931675}" name="name"/>
    <tableColumn id="4" xr3:uid="{FF62CEAD-7C3D-4C8A-8793-47CD09F0B407}" name="tex"/>
    <tableColumn id="5" xr3:uid="{6D530E62-C08C-4BDD-806E-7ED7E8C0B8BE}" name="value"/>
    <tableColumn id="6" xr3:uid="{2F9AAB0C-3D85-435D-8951-69429A1A1674}" name="unit"/>
    <tableColumn id="7" xr3:uid="{0FF44BC7-B7E0-41CD-A78A-5FBBB43897E2}" name="description"/>
    <tableColumn id="8" xr3:uid="{A84C2887-0AED-45FA-81AF-BD2D2A9B5D34}" name="Categori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985713-D961-4DEC-A02A-FAEEBEB485C4}" name="Tabelle4" displayName="Tabelle4" ref="A2:B5" totalsRowShown="0">
  <autoFilter ref="A2:B5" xr:uid="{35985713-D961-4DEC-A02A-FAEEBEB485C4}"/>
  <tableColumns count="2">
    <tableColumn id="1" xr3:uid="{13993FDE-7CE1-4B2E-96D8-1FCF6EA2EA84}" name="Process_statusID"/>
    <tableColumn id="2" xr3:uid="{FDB7797D-CA3F-49B0-A6FF-9830904F7D7F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988086-317A-42F7-B446-EFB7A53F7B47}" name="Tabelle5" displayName="Tabelle5" ref="D2:E6" totalsRowShown="0">
  <autoFilter ref="D2:E6" xr:uid="{3C988086-317A-42F7-B446-EFB7A53F7B47}"/>
  <tableColumns count="2">
    <tableColumn id="1" xr3:uid="{0A5E1079-4E9C-4E01-B12F-F2C76A4BE7BB}" name="Process_typeID"/>
    <tableColumn id="2" xr3:uid="{69205E91-9D9F-4594-988C-0F530F81DE5E}" name="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F8092A-A09A-4E71-8667-ABA12F4B4317}" name="Tabelle6" displayName="Tabelle6" ref="K15:L41" totalsRowShown="0">
  <autoFilter ref="K15:L41" xr:uid="{64F8092A-A09A-4E71-8667-ABA12F4B4317}"/>
  <tableColumns count="2">
    <tableColumn id="1" xr3:uid="{BFCC4BB8-7B27-4801-ADCF-5D51BB35F872}" name="Process_variableID"/>
    <tableColumn id="3" xr3:uid="{5814F785-4607-4688-8904-3378A1FEE9AA}" name="variable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7AB31D-A9EB-4AC6-BE13-3791F7952718}" name="Tabelle7" displayName="Tabelle7" ref="K2:M7" totalsRowShown="0">
  <autoFilter ref="K2:M7" xr:uid="{707AB31D-A9EB-4AC6-BE13-3791F7952718}"/>
  <tableColumns count="3">
    <tableColumn id="1" xr3:uid="{8EAE7C8C-3A78-4A85-AF04-81EBDA691942}" name="Process_operatorID"/>
    <tableColumn id="2" xr3:uid="{DF84D09B-ABA2-49FB-B4E5-F79339147290}" name="condition"/>
    <tableColumn id="3" xr3:uid="{F1D92D5B-8F9B-458B-A19F-52B496BFB839}" name="operat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7608E0-B8CA-4E88-AE70-0DF000B74F5F}" name="Tabelle8" displayName="Tabelle8" ref="O2:S5" totalsRowShown="0">
  <autoFilter ref="O2:S5" xr:uid="{C57608E0-B8CA-4E88-AE70-0DF000B74F5F}"/>
  <tableColumns count="5">
    <tableColumn id="1" xr3:uid="{4972A9A2-DF70-4578-BC3C-DE4A6272ABDA}" name="Process_conditionID"/>
    <tableColumn id="5" xr3:uid="{75DD56E7-7680-4D6A-BC82-7696BCE15BBF}" name="Process_sectionID"/>
    <tableColumn id="2" xr3:uid="{09999D0E-29D4-4688-8B11-12319A090FD4}" name="Process_variableID"/>
    <tableColumn id="3" xr3:uid="{054398EA-5316-4572-8F1E-80931E1BD676}" name="Process_operatorID"/>
    <tableColumn id="4" xr3:uid="{AAFC6901-867D-460A-B508-03AE5C131107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E1ECE6-C45D-4877-BBD4-EBCCCC36D33B}" name="Tabelle9" displayName="Tabelle9" ref="A15:G19" totalsRowShown="0">
  <autoFilter ref="A15:G19" xr:uid="{CBE1ECE6-C45D-4877-BBD4-EBCCCC36D33B}"/>
  <tableColumns count="7">
    <tableColumn id="1" xr3:uid="{B7F83F08-38E6-4457-BF97-81FE0FF7A22C}" name="Process_phaseID"/>
    <tableColumn id="2" xr3:uid="{269987A5-4701-4708-9535-43FB5BE709C2}" name="projectID"/>
    <tableColumn id="3" xr3:uid="{341367A9-03B4-43E9-8C3E-3E9161A0572A}" name="order"/>
    <tableColumn id="4" xr3:uid="{43AA8403-42DA-4B5B-B181-51EB91A38FF4}" name="Process_statusID"/>
    <tableColumn id="5" xr3:uid="{3C47EBD5-684F-4463-80A1-FC17912777F8}" name="Process_typeTab"/>
    <tableColumn id="6" xr3:uid="{1E438AF9-7AC7-4B5F-88A7-FC4E6FDFD96D}" name="name"/>
    <tableColumn id="7" xr3:uid="{9AEAACE6-9CDA-402A-A931-E4889FBB2D15}" name="Process_condition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C4F42E-C969-47F2-B6D3-69039FFC18E9}" name="Table13" displayName="Table13" ref="A1:R56" totalsRowShown="0">
  <autoFilter ref="A1:R56" xr:uid="{A5C4F42E-C969-47F2-B6D3-69039FFC18E9}"/>
  <tableColumns count="18">
    <tableColumn id="1" xr3:uid="{42E2E452-32DA-45ED-B9AF-5FC5059DE1BA}" name="profileID"/>
    <tableColumn id="2" xr3:uid="{36C781A8-F132-4456-9D66-935FD1FA07BA}" name="variableID"/>
    <tableColumn id="3" xr3:uid="{C64D9C81-63E0-4554-BE14-551FDD5412BD}" name="name"/>
    <tableColumn id="4" xr3:uid="{667AC389-F181-4EDB-B924-C1EE586A154B}" name="shorttex"/>
    <tableColumn id="5" xr3:uid="{09993640-6DF6-4825-A86F-C1BF832F6005}" name="longtex"/>
    <tableColumn id="6" xr3:uid="{978A775D-C1D3-41B5-9919-FF1E27BD6BB8}" name="unit"/>
    <tableColumn id="7" xr3:uid="{AF09F9EC-B15D-4AC1-A873-E33D324CE61E}" name="tex_unit"/>
    <tableColumn id="8" xr3:uid="{1B5FA93A-540F-439D-A8D8-E361F0E3967A}" name="description"/>
    <tableColumn id="9" xr3:uid="{4114DDEE-0814-49E4-B640-29574254192F}" name="displayed"/>
    <tableColumn id="10" xr3:uid="{DE98A2F3-FFC8-489D-AD15-37FE30CC2A0B}" name="upload_rate"/>
    <tableColumn id="11" xr3:uid="{BD0C6162-E2E9-48DB-8CE9-CB3F955CAD4D}" name="Column1"/>
    <tableColumn id="12" xr3:uid="{6383520E-44A4-4522-9906-38E609DBFBC1}" name="limit_type"/>
    <tableColumn id="13" xr3:uid="{45982F93-91A9-4F7F-8261-0FEC04E1E4E3}" name="ymin"/>
    <tableColumn id="14" xr3:uid="{B691B29B-C486-4A72-B2D1-FFABF11892AE}" name="ymax"/>
    <tableColumn id="16" xr3:uid="{500E223A-FD6C-4E86-8197-8136781776D7}" name="decimalID"/>
    <tableColumn id="17" xr3:uid="{BB61A3BA-C033-4B27-856E-A9A2669C4324}" name="colorID"/>
    <tableColumn id="18" xr3:uid="{873A99C6-888B-4E5E-BA5D-84FBC91DC860}" name="linestyleID"/>
    <tableColumn id="19" xr3:uid="{2C2A07DB-49A4-4A92-9C20-B2B2864F4D9E}" name="select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opLeftCell="A60" zoomScale="85" zoomScaleNormal="85" workbookViewId="0">
      <selection activeCell="B25" sqref="B25"/>
    </sheetView>
  </sheetViews>
  <sheetFormatPr defaultColWidth="9.140625" defaultRowHeight="15" x14ac:dyDescent="0.25"/>
  <cols>
    <col min="1" max="1" width="10.42578125" customWidth="1"/>
    <col min="2" max="2" width="42.28515625" customWidth="1"/>
    <col min="4" max="4" width="11.7109375" bestFit="1" customWidth="1"/>
    <col min="5" max="7" width="9.28515625" bestFit="1" customWidth="1"/>
  </cols>
  <sheetData>
    <row r="1" spans="1:7" x14ac:dyDescent="0.25">
      <c r="A1" s="9" t="s">
        <v>520</v>
      </c>
      <c r="D1" t="s">
        <v>580</v>
      </c>
      <c r="E1" t="s">
        <v>581</v>
      </c>
      <c r="F1">
        <v>3</v>
      </c>
      <c r="G1">
        <v>4</v>
      </c>
    </row>
    <row r="2" spans="1:7" x14ac:dyDescent="0.25">
      <c r="A2" s="8" t="s">
        <v>227</v>
      </c>
      <c r="B2" s="5" t="s">
        <v>515</v>
      </c>
      <c r="C2" s="5" t="s">
        <v>513</v>
      </c>
      <c r="D2" s="5" t="s">
        <v>514</v>
      </c>
    </row>
    <row r="3" spans="1:7" x14ac:dyDescent="0.25">
      <c r="A3" s="1" t="s">
        <v>0</v>
      </c>
      <c r="B3" s="1" t="s">
        <v>2</v>
      </c>
      <c r="C3" s="1" t="s">
        <v>1</v>
      </c>
      <c r="D3" s="1">
        <v>14</v>
      </c>
      <c r="E3" t="e">
        <f>VLOOKUP(A3,BBI_ED!$A$1:$C$205,2,FALSE)</f>
        <v>#N/A</v>
      </c>
    </row>
    <row r="4" spans="1:7" x14ac:dyDescent="0.25">
      <c r="A4" s="1" t="s">
        <v>3</v>
      </c>
      <c r="B4" s="1" t="s">
        <v>5</v>
      </c>
      <c r="C4" s="1" t="s">
        <v>4</v>
      </c>
      <c r="D4" s="1">
        <v>20</v>
      </c>
      <c r="E4" t="e">
        <f>VLOOKUP(A4,BBI_ED!$A$1:$C$205,2,FALSE)</f>
        <v>#N/A</v>
      </c>
    </row>
    <row r="5" spans="1:7" x14ac:dyDescent="0.25">
      <c r="A5" s="1" t="s">
        <v>6</v>
      </c>
      <c r="B5" s="1" t="s">
        <v>8</v>
      </c>
      <c r="C5" s="1" t="s">
        <v>7</v>
      </c>
      <c r="D5" s="1">
        <v>400</v>
      </c>
      <c r="E5">
        <f>VLOOKUP(A5,BBI_ED!$A$1:$C$205,2,FALSE)</f>
        <v>0</v>
      </c>
    </row>
    <row r="6" spans="1:7" x14ac:dyDescent="0.25">
      <c r="A6" s="1" t="s">
        <v>9</v>
      </c>
      <c r="B6" s="1" t="s">
        <v>11</v>
      </c>
      <c r="C6" s="1" t="s">
        <v>10</v>
      </c>
      <c r="D6" s="1">
        <v>7.5</v>
      </c>
      <c r="E6">
        <f>VLOOKUP(A6,BBI_ED!$A$1:$C$205,2,FALSE)</f>
        <v>0</v>
      </c>
    </row>
    <row r="7" spans="1:7" x14ac:dyDescent="0.25">
      <c r="A7" s="1" t="s">
        <v>12</v>
      </c>
      <c r="B7" s="1" t="s">
        <v>13</v>
      </c>
      <c r="C7" s="1" t="s">
        <v>10</v>
      </c>
      <c r="D7" s="1">
        <v>0</v>
      </c>
      <c r="E7">
        <f>VLOOKUP(A7,BBI_ED!$A$1:$C$205,2,FALSE)</f>
        <v>0</v>
      </c>
    </row>
    <row r="8" spans="1:7" x14ac:dyDescent="0.25">
      <c r="A8" s="1" t="s">
        <v>14</v>
      </c>
      <c r="B8" s="1" t="s">
        <v>15</v>
      </c>
      <c r="C8" s="1" t="s">
        <v>10</v>
      </c>
      <c r="D8" s="1">
        <v>0</v>
      </c>
      <c r="E8">
        <f>VLOOKUP(A8,BBI_ED!$A$1:$C$205,2,FALSE)</f>
        <v>0</v>
      </c>
    </row>
    <row r="9" spans="1:7" x14ac:dyDescent="0.25">
      <c r="A9" s="1" t="s">
        <v>16</v>
      </c>
      <c r="B9" s="1" t="s">
        <v>17</v>
      </c>
      <c r="C9" s="1" t="s">
        <v>10</v>
      </c>
      <c r="D9" s="1">
        <v>0</v>
      </c>
      <c r="E9">
        <f>VLOOKUP(A9,BBI_ED!$A$1:$C$205,2,FALSE)</f>
        <v>0</v>
      </c>
    </row>
    <row r="10" spans="1:7" x14ac:dyDescent="0.25">
      <c r="A10" s="1" t="s">
        <v>18</v>
      </c>
      <c r="B10" s="1" t="s">
        <v>19</v>
      </c>
      <c r="C10" s="1" t="s">
        <v>10</v>
      </c>
      <c r="D10" s="1">
        <v>6</v>
      </c>
      <c r="E10" t="e">
        <f>VLOOKUP(A10,BBI_ED!$A$1:$C$205,2,FALSE)</f>
        <v>#N/A</v>
      </c>
    </row>
    <row r="11" spans="1:7" x14ac:dyDescent="0.25">
      <c r="A11" s="1" t="s">
        <v>20</v>
      </c>
      <c r="B11" s="1" t="s">
        <v>22</v>
      </c>
      <c r="C11" s="1" t="s">
        <v>21</v>
      </c>
      <c r="D11" s="1">
        <v>0</v>
      </c>
      <c r="E11" t="e">
        <f>VLOOKUP(A11,BBI_ED!$A$1:$C$205,2,FALSE)</f>
        <v>#N/A</v>
      </c>
    </row>
    <row r="12" spans="1:7" x14ac:dyDescent="0.25">
      <c r="A12" s="1" t="s">
        <v>23</v>
      </c>
      <c r="B12" s="1" t="s">
        <v>24</v>
      </c>
      <c r="C12" s="1" t="s">
        <v>4</v>
      </c>
      <c r="D12" s="1">
        <v>20</v>
      </c>
      <c r="E12" t="e">
        <f>VLOOKUP(A12,BBI_ED!$A$1:$C$205,2,FALSE)</f>
        <v>#N/A</v>
      </c>
    </row>
    <row r="13" spans="1:7" x14ac:dyDescent="0.25">
      <c r="A13" s="1" t="s">
        <v>25</v>
      </c>
      <c r="B13" s="1" t="s">
        <v>27</v>
      </c>
      <c r="C13" s="1" t="s">
        <v>26</v>
      </c>
      <c r="D13" s="1">
        <v>6.7</v>
      </c>
      <c r="E13" t="e">
        <f>VLOOKUP(A13,BBI_ED!$A$1:$C$205,2,FALSE)</f>
        <v>#N/A</v>
      </c>
    </row>
    <row r="14" spans="1:7" x14ac:dyDescent="0.25">
      <c r="A14" s="1" t="s">
        <v>28</v>
      </c>
      <c r="B14" s="1" t="s">
        <v>30</v>
      </c>
      <c r="C14" s="1" t="s">
        <v>29</v>
      </c>
      <c r="D14" s="1">
        <v>32</v>
      </c>
      <c r="E14" t="e">
        <f>VLOOKUP(A14,BBI_ED!$A$1:$C$205,2,FALSE)</f>
        <v>#N/A</v>
      </c>
    </row>
    <row r="15" spans="1:7" x14ac:dyDescent="0.25">
      <c r="A15" s="1" t="s">
        <v>31</v>
      </c>
      <c r="B15" s="1" t="s">
        <v>33</v>
      </c>
      <c r="C15" s="1" t="s">
        <v>32</v>
      </c>
      <c r="D15" s="1">
        <v>0.5</v>
      </c>
      <c r="E15">
        <f>VLOOKUP(A15,BBI_ED!$A$1:$C$205,2,FALSE)</f>
        <v>0</v>
      </c>
    </row>
    <row r="16" spans="1:7" x14ac:dyDescent="0.25">
      <c r="A16" s="10" t="s">
        <v>226</v>
      </c>
      <c r="B16" s="5"/>
      <c r="C16" s="5"/>
      <c r="D16" s="5"/>
      <c r="E16" t="e">
        <f>VLOOKUP(A16,BBI_ED!$A$1:$C$205,2,FALSE)</f>
        <v>#N/A</v>
      </c>
    </row>
    <row r="17" spans="1:5" x14ac:dyDescent="0.25">
      <c r="A17" s="1" t="s">
        <v>34</v>
      </c>
      <c r="B17" s="1" t="s">
        <v>36</v>
      </c>
      <c r="C17" s="1" t="s">
        <v>35</v>
      </c>
      <c r="D17" s="1">
        <v>5</v>
      </c>
      <c r="E17" t="e">
        <f>VLOOKUP(A17,BBI_ED!$A$1:$C$205,2,FALSE)</f>
        <v>#N/A</v>
      </c>
    </row>
    <row r="18" spans="1:5" x14ac:dyDescent="0.25">
      <c r="A18" s="1" t="s">
        <v>37</v>
      </c>
      <c r="B18" s="1" t="s">
        <v>39</v>
      </c>
      <c r="C18" s="1" t="s">
        <v>38</v>
      </c>
      <c r="D18" s="1">
        <v>10</v>
      </c>
      <c r="E18">
        <f>VLOOKUP(A18,BBI_ED!$A$1:$C$205,2,FALSE)</f>
        <v>5.5</v>
      </c>
    </row>
    <row r="19" spans="1:5" x14ac:dyDescent="0.25">
      <c r="A19" s="1" t="s">
        <v>40</v>
      </c>
      <c r="B19" s="1" t="s">
        <v>42</v>
      </c>
      <c r="C19" s="1" t="s">
        <v>41</v>
      </c>
      <c r="D19" s="1">
        <v>5</v>
      </c>
      <c r="E19" t="e">
        <f>VLOOKUP(A19,BBI_ED!$A$1:$C$205,2,FALSE)</f>
        <v>#N/A</v>
      </c>
    </row>
    <row r="20" spans="1:5" x14ac:dyDescent="0.25">
      <c r="A20" s="1" t="s">
        <v>43</v>
      </c>
      <c r="B20" s="1" t="s">
        <v>44</v>
      </c>
      <c r="C20" s="1" t="s">
        <v>41</v>
      </c>
      <c r="D20" s="1">
        <v>0</v>
      </c>
      <c r="E20" t="e">
        <f>VLOOKUP(A20,BBI_ED!$A$1:$C$205,2,FALSE)</f>
        <v>#N/A</v>
      </c>
    </row>
    <row r="21" spans="1:5" x14ac:dyDescent="0.25">
      <c r="A21" s="1" t="s">
        <v>45</v>
      </c>
      <c r="B21" s="1" t="s">
        <v>46</v>
      </c>
      <c r="C21" s="1" t="s">
        <v>41</v>
      </c>
      <c r="D21" s="1">
        <v>0</v>
      </c>
      <c r="E21" t="e">
        <f>VLOOKUP(A21,BBI_ED!$A$1:$C$205,2,FALSE)</f>
        <v>#N/A</v>
      </c>
    </row>
    <row r="22" spans="1:5" x14ac:dyDescent="0.25">
      <c r="A22" s="1" t="s">
        <v>47</v>
      </c>
      <c r="B22" s="1" t="s">
        <v>48</v>
      </c>
      <c r="C22" s="1" t="s">
        <v>41</v>
      </c>
      <c r="D22" s="1">
        <v>3</v>
      </c>
      <c r="E22">
        <f>VLOOKUP(A22,BBI_ED!$A$1:$C$205,2,FALSE)</f>
        <v>50</v>
      </c>
    </row>
    <row r="23" spans="1:5" x14ac:dyDescent="0.25">
      <c r="A23" s="10" t="s">
        <v>225</v>
      </c>
      <c r="B23" s="5"/>
      <c r="C23" s="5"/>
      <c r="D23" s="5"/>
      <c r="E23" t="e">
        <f>VLOOKUP(A23,BBI_ED!$A$1:$C$205,2,FALSE)</f>
        <v>#N/A</v>
      </c>
    </row>
    <row r="24" spans="1:5" x14ac:dyDescent="0.25">
      <c r="A24" s="1" t="s">
        <v>49</v>
      </c>
      <c r="B24" s="1" t="s">
        <v>51</v>
      </c>
      <c r="C24" s="1" t="s">
        <v>50</v>
      </c>
      <c r="D24" s="1">
        <v>150000</v>
      </c>
      <c r="E24">
        <f>VLOOKUP(A24,BBI_ED!$A$1:$C$205,2,FALSE)</f>
        <v>0</v>
      </c>
    </row>
    <row r="25" spans="1:5" x14ac:dyDescent="0.25">
      <c r="A25" s="1" t="s">
        <v>52</v>
      </c>
      <c r="B25" s="1" t="s">
        <v>53</v>
      </c>
      <c r="C25" s="1" t="s">
        <v>26</v>
      </c>
      <c r="D25" s="1">
        <v>0.2094</v>
      </c>
      <c r="E25">
        <f>VLOOKUP(A25,BBI_ED!$A$1:$C$205,2,FALSE)</f>
        <v>0</v>
      </c>
    </row>
    <row r="26" spans="1:5" ht="30" x14ac:dyDescent="0.25">
      <c r="A26" s="1" t="s">
        <v>54</v>
      </c>
      <c r="B26" s="1" t="s">
        <v>55</v>
      </c>
      <c r="C26" s="1" t="s">
        <v>26</v>
      </c>
      <c r="D26" s="1">
        <v>4.0000000000000001E-3</v>
      </c>
      <c r="E26" t="e">
        <f>VLOOKUP(A26,BBI_ED!$A$1:$C$205,2,FALSE)</f>
        <v>#N/A</v>
      </c>
    </row>
    <row r="27" spans="1:5" x14ac:dyDescent="0.25">
      <c r="A27" s="1" t="s">
        <v>56</v>
      </c>
      <c r="B27" s="1" t="s">
        <v>57</v>
      </c>
      <c r="C27" s="1" t="s">
        <v>41</v>
      </c>
      <c r="D27" s="1">
        <v>200</v>
      </c>
      <c r="E27">
        <f>VLOOKUP(A27,BBI_ED!$A$1:$C$205,2,FALSE)</f>
        <v>0</v>
      </c>
    </row>
    <row r="28" spans="1:5" x14ac:dyDescent="0.25">
      <c r="A28" s="1" t="s">
        <v>58</v>
      </c>
      <c r="B28" s="1" t="s">
        <v>59</v>
      </c>
      <c r="C28" s="1" t="s">
        <v>41</v>
      </c>
      <c r="D28" s="1">
        <v>0</v>
      </c>
      <c r="E28">
        <f>VLOOKUP(A28,BBI_ED!$A$1:$C$205,2,FALSE)</f>
        <v>0</v>
      </c>
    </row>
    <row r="29" spans="1:5" x14ac:dyDescent="0.25">
      <c r="A29" s="1" t="s">
        <v>60</v>
      </c>
      <c r="B29" s="1" t="s">
        <v>62</v>
      </c>
      <c r="C29" s="1" t="s">
        <v>61</v>
      </c>
      <c r="D29" s="1">
        <v>0</v>
      </c>
      <c r="E29">
        <f>VLOOKUP(A29,BBI_ED!$A$1:$C$205,2,FALSE)</f>
        <v>0</v>
      </c>
    </row>
    <row r="30" spans="1:5" x14ac:dyDescent="0.25">
      <c r="A30" s="1" t="s">
        <v>63</v>
      </c>
      <c r="B30" s="1" t="s">
        <v>64</v>
      </c>
      <c r="C30" s="1" t="s">
        <v>38</v>
      </c>
      <c r="D30" s="1">
        <v>2</v>
      </c>
      <c r="E30">
        <f>VLOOKUP(A30,BBI_ED!$A$1:$C$205,2,FALSE)</f>
        <v>5</v>
      </c>
    </row>
    <row r="31" spans="1:5" ht="30" x14ac:dyDescent="0.25">
      <c r="A31" s="1" t="s">
        <v>65</v>
      </c>
      <c r="B31" s="1" t="s">
        <v>66</v>
      </c>
      <c r="C31" s="1" t="s">
        <v>41</v>
      </c>
      <c r="D31" s="1">
        <v>0</v>
      </c>
      <c r="E31">
        <f>VLOOKUP(A31,BBI_ED!$A$1:$C$205,2,FALSE)</f>
        <v>0</v>
      </c>
    </row>
    <row r="32" spans="1:5" x14ac:dyDescent="0.25">
      <c r="A32" s="1" t="s">
        <v>67</v>
      </c>
      <c r="B32" s="1" t="s">
        <v>68</v>
      </c>
      <c r="C32" s="1" t="s">
        <v>41</v>
      </c>
      <c r="D32" s="1">
        <v>0</v>
      </c>
      <c r="E32">
        <f>VLOOKUP(A32,BBI_ED!$A$1:$C$205,2,FALSE)</f>
        <v>0</v>
      </c>
    </row>
    <row r="33" spans="1:5" x14ac:dyDescent="0.25">
      <c r="A33" s="1" t="s">
        <v>69</v>
      </c>
      <c r="B33" s="1" t="s">
        <v>70</v>
      </c>
      <c r="C33" s="1" t="s">
        <v>41</v>
      </c>
      <c r="D33" s="1">
        <v>0</v>
      </c>
      <c r="E33">
        <f>VLOOKUP(A33,BBI_ED!$A$1:$C$205,2,FALSE)</f>
        <v>0</v>
      </c>
    </row>
    <row r="34" spans="1:5" x14ac:dyDescent="0.25">
      <c r="A34" s="1" t="s">
        <v>71</v>
      </c>
      <c r="B34" s="1" t="s">
        <v>72</v>
      </c>
      <c r="C34" s="1" t="s">
        <v>61</v>
      </c>
      <c r="D34" s="1">
        <v>16.47</v>
      </c>
      <c r="E34">
        <f>VLOOKUP(A34,BBI_ED!$A$1:$C$205,2,FALSE)</f>
        <v>16.47</v>
      </c>
    </row>
    <row r="35" spans="1:5" x14ac:dyDescent="0.25">
      <c r="A35" s="1" t="s">
        <v>73</v>
      </c>
      <c r="B35" s="1" t="s">
        <v>74</v>
      </c>
      <c r="C35" s="1" t="s">
        <v>61</v>
      </c>
      <c r="D35" s="1">
        <v>0</v>
      </c>
      <c r="E35">
        <f>VLOOKUP(A35,BBI_ED!$A$1:$C$205,2,FALSE)</f>
        <v>0</v>
      </c>
    </row>
    <row r="36" spans="1:5" x14ac:dyDescent="0.25">
      <c r="A36" s="1" t="s">
        <v>75</v>
      </c>
      <c r="B36" s="1" t="s">
        <v>76</v>
      </c>
      <c r="C36" s="1" t="s">
        <v>61</v>
      </c>
      <c r="D36" s="1">
        <v>0</v>
      </c>
      <c r="E36">
        <f>VLOOKUP(A36,BBI_ED!$A$1:$C$205,2,FALSE)</f>
        <v>0</v>
      </c>
    </row>
    <row r="37" spans="1:5" x14ac:dyDescent="0.25">
      <c r="A37" s="1" t="s">
        <v>77</v>
      </c>
      <c r="B37" s="1" t="s">
        <v>78</v>
      </c>
      <c r="C37" s="1" t="s">
        <v>41</v>
      </c>
      <c r="D37" s="1">
        <v>0</v>
      </c>
      <c r="E37">
        <f>VLOOKUP(A37,BBI_ED!$A$1:$C$205,2,FALSE)</f>
        <v>0</v>
      </c>
    </row>
    <row r="38" spans="1:5" x14ac:dyDescent="0.25">
      <c r="A38" s="1" t="s">
        <v>79</v>
      </c>
      <c r="B38" s="1" t="s">
        <v>80</v>
      </c>
      <c r="C38" s="1" t="s">
        <v>41</v>
      </c>
      <c r="D38" s="1">
        <v>0</v>
      </c>
      <c r="E38">
        <f>VLOOKUP(A38,BBI_ED!$A$1:$C$205,2,FALSE)</f>
        <v>0</v>
      </c>
    </row>
    <row r="39" spans="1:5" x14ac:dyDescent="0.25">
      <c r="A39" s="1" t="s">
        <v>81</v>
      </c>
      <c r="B39" s="1" t="s">
        <v>82</v>
      </c>
      <c r="C39" s="1" t="s">
        <v>4</v>
      </c>
      <c r="D39" s="1">
        <v>100</v>
      </c>
      <c r="E39" t="e">
        <f>VLOOKUP(A39,BBI_ED!$A$1:$C$205,2,FALSE)</f>
        <v>#N/A</v>
      </c>
    </row>
    <row r="40" spans="1:5" ht="30" x14ac:dyDescent="0.25">
      <c r="A40" s="1" t="s">
        <v>83</v>
      </c>
      <c r="B40" s="1" t="s">
        <v>84</v>
      </c>
      <c r="C40" s="1" t="s">
        <v>41</v>
      </c>
      <c r="D40" s="1">
        <v>1.4735071000000001E-2</v>
      </c>
      <c r="E40" t="e">
        <f>VLOOKUP(A40,BBI_ED!$A$1:$C$205,2,FALSE)</f>
        <v>#N/A</v>
      </c>
    </row>
    <row r="41" spans="1:5" ht="30" x14ac:dyDescent="0.25">
      <c r="A41" s="1" t="s">
        <v>85</v>
      </c>
      <c r="B41" s="1" t="s">
        <v>86</v>
      </c>
      <c r="C41" s="1" t="s">
        <v>41</v>
      </c>
      <c r="D41" s="1">
        <v>6.9444443999999994E-2</v>
      </c>
      <c r="E41" t="e">
        <f>VLOOKUP(A41,BBI_ED!$A$1:$C$205,2,FALSE)</f>
        <v>#N/A</v>
      </c>
    </row>
    <row r="42" spans="1:5" x14ac:dyDescent="0.25">
      <c r="A42" s="1" t="s">
        <v>87</v>
      </c>
      <c r="B42" s="1" t="s">
        <v>88</v>
      </c>
      <c r="C42" s="1" t="s">
        <v>21</v>
      </c>
      <c r="D42" s="1">
        <v>2.5</v>
      </c>
      <c r="E42">
        <f>VLOOKUP(A42,BBI_ED!$A$1:$C$205,2,FALSE)</f>
        <v>2.5</v>
      </c>
    </row>
    <row r="43" spans="1:5" x14ac:dyDescent="0.25">
      <c r="A43" s="1" t="s">
        <v>89</v>
      </c>
      <c r="B43" s="1" t="s">
        <v>90</v>
      </c>
      <c r="C43" s="1" t="s">
        <v>10</v>
      </c>
      <c r="D43" s="1">
        <v>1469</v>
      </c>
      <c r="E43">
        <f>VLOOKUP(A43,BBI_ED!$A$1:$C$205,2,FALSE)</f>
        <v>1469</v>
      </c>
    </row>
    <row r="44" spans="1:5" x14ac:dyDescent="0.25">
      <c r="A44" s="2" t="s">
        <v>517</v>
      </c>
      <c r="E44" t="e">
        <f>VLOOKUP(A44,BBI_ED!$A$1:$C$205,2,FALSE)</f>
        <v>#N/A</v>
      </c>
    </row>
    <row r="45" spans="1:5" x14ac:dyDescent="0.25">
      <c r="A45" s="1" t="s">
        <v>91</v>
      </c>
      <c r="B45" s="1" t="s">
        <v>92</v>
      </c>
      <c r="C45" s="1" t="s">
        <v>29</v>
      </c>
      <c r="D45" s="1">
        <v>32</v>
      </c>
      <c r="E45" t="e">
        <f>VLOOKUP(A45,BBI_ED!$A$1:$C$205,2,FALSE)</f>
        <v>#N/A</v>
      </c>
    </row>
    <row r="46" spans="1:5" x14ac:dyDescent="0.25">
      <c r="A46" s="1" t="s">
        <v>93</v>
      </c>
      <c r="B46" s="1" t="s">
        <v>94</v>
      </c>
      <c r="C46" s="1" t="s">
        <v>29</v>
      </c>
      <c r="D46" s="1">
        <v>32</v>
      </c>
      <c r="E46" t="e">
        <f>VLOOKUP(A46,BBI_ED!$A$1:$C$205,2,FALSE)</f>
        <v>#N/A</v>
      </c>
    </row>
    <row r="47" spans="1:5" x14ac:dyDescent="0.25">
      <c r="A47" s="4" t="s">
        <v>518</v>
      </c>
      <c r="B47" s="5"/>
      <c r="C47" s="5"/>
      <c r="D47" s="5"/>
      <c r="E47" t="e">
        <f>VLOOKUP(A47,BBI_ED!$A$1:$C$205,2,FALSE)</f>
        <v>#N/A</v>
      </c>
    </row>
    <row r="48" spans="1:5" x14ac:dyDescent="0.25">
      <c r="A48" s="1" t="s">
        <v>95</v>
      </c>
      <c r="B48" s="1" t="s">
        <v>96</v>
      </c>
      <c r="C48" s="1" t="s">
        <v>26</v>
      </c>
      <c r="D48" s="1">
        <v>7.5</v>
      </c>
      <c r="E48">
        <f>VLOOKUP(A48,BBI_ED!$A$1:$C$205,2,FALSE)</f>
        <v>7.5</v>
      </c>
    </row>
    <row r="49" spans="1:5" ht="30" x14ac:dyDescent="0.25">
      <c r="A49" s="1" t="s">
        <v>97</v>
      </c>
      <c r="B49" s="1" t="s">
        <v>98</v>
      </c>
      <c r="C49" s="1" t="s">
        <v>61</v>
      </c>
      <c r="D49" s="1">
        <v>7.5199999999999998E-3</v>
      </c>
      <c r="E49">
        <f>VLOOKUP(A49,BBI_ED!$A$1:$C$205,2,FALSE)</f>
        <v>7.5199999999999998E-3</v>
      </c>
    </row>
    <row r="50" spans="1:5" ht="30" x14ac:dyDescent="0.25">
      <c r="A50" s="1" t="s">
        <v>99</v>
      </c>
      <c r="B50" s="1" t="s">
        <v>100</v>
      </c>
      <c r="C50" s="1" t="s">
        <v>61</v>
      </c>
      <c r="D50" s="3">
        <v>6.2299999999999995E-8</v>
      </c>
      <c r="E50">
        <f>VLOOKUP(A50,BBI_ED!$A$1:$C$205,2,FALSE)</f>
        <v>6.2299999999999995E-8</v>
      </c>
    </row>
    <row r="51" spans="1:5" ht="30" x14ac:dyDescent="0.25">
      <c r="A51" s="1" t="s">
        <v>101</v>
      </c>
      <c r="B51" s="1" t="s">
        <v>102</v>
      </c>
      <c r="C51" s="1" t="s">
        <v>61</v>
      </c>
      <c r="D51" s="3">
        <v>2.2E-13</v>
      </c>
      <c r="E51">
        <f>VLOOKUP(A51,BBI_ED!$A$1:$C$205,2,FALSE)</f>
        <v>2.2E-13</v>
      </c>
    </row>
    <row r="52" spans="1:5" ht="30" x14ac:dyDescent="0.25">
      <c r="A52" s="1" t="s">
        <v>103</v>
      </c>
      <c r="B52" s="1" t="s">
        <v>104</v>
      </c>
      <c r="C52" s="1" t="s">
        <v>61</v>
      </c>
      <c r="D52" s="1">
        <v>1.7600000000000001E-5</v>
      </c>
      <c r="E52">
        <f>VLOOKUP(A52,BBI_ED!$A$1:$C$205,2,FALSE)</f>
        <v>1.7600000000000001E-5</v>
      </c>
    </row>
    <row r="53" spans="1:5" ht="30" x14ac:dyDescent="0.25">
      <c r="A53" s="1" t="s">
        <v>105</v>
      </c>
      <c r="B53" s="1" t="s">
        <v>106</v>
      </c>
      <c r="C53" s="1" t="s">
        <v>61</v>
      </c>
      <c r="D53" s="1">
        <v>1.7600000000000001E-5</v>
      </c>
      <c r="E53">
        <f>VLOOKUP(A53,BBI_ED!$A$1:$C$205,2,FALSE)</f>
        <v>1.7600000000000001E-5</v>
      </c>
    </row>
    <row r="54" spans="1:5" ht="30" x14ac:dyDescent="0.25">
      <c r="A54" s="1" t="s">
        <v>107</v>
      </c>
      <c r="B54" s="1" t="s">
        <v>108</v>
      </c>
      <c r="C54" s="1" t="s">
        <v>61</v>
      </c>
      <c r="D54" s="1">
        <v>1.54E-2</v>
      </c>
      <c r="E54">
        <f>VLOOKUP(A54,BBI_ED!$A$1:$C$205,2,FALSE)</f>
        <v>1.54E-2</v>
      </c>
    </row>
    <row r="55" spans="1:5" ht="30" x14ac:dyDescent="0.25">
      <c r="A55" s="1" t="s">
        <v>109</v>
      </c>
      <c r="B55" s="1" t="s">
        <v>110</v>
      </c>
      <c r="C55" s="1" t="s">
        <v>61</v>
      </c>
      <c r="D55" s="1">
        <v>1.02E-7</v>
      </c>
      <c r="E55">
        <f>VLOOKUP(A55,BBI_ED!$A$1:$C$205,2,FALSE)</f>
        <v>1.02E-7</v>
      </c>
    </row>
    <row r="56" spans="1:5" x14ac:dyDescent="0.25">
      <c r="A56" s="1" t="s">
        <v>111</v>
      </c>
      <c r="B56" s="1" t="s">
        <v>113</v>
      </c>
      <c r="C56" s="1" t="s">
        <v>112</v>
      </c>
      <c r="D56" s="1">
        <v>82</v>
      </c>
      <c r="E56">
        <f>VLOOKUP(A56,BBI_ED!$A$1:$C$205,2,FALSE)</f>
        <v>82</v>
      </c>
    </row>
    <row r="57" spans="1:5" x14ac:dyDescent="0.25">
      <c r="A57" s="1" t="s">
        <v>114</v>
      </c>
      <c r="B57" s="1" t="s">
        <v>115</v>
      </c>
      <c r="C57" s="1" t="s">
        <v>112</v>
      </c>
      <c r="D57" s="1">
        <v>17</v>
      </c>
      <c r="E57">
        <f>VLOOKUP(A57,BBI_ED!$A$1:$C$205,2,FALSE)</f>
        <v>17</v>
      </c>
    </row>
    <row r="58" spans="1:5" x14ac:dyDescent="0.25">
      <c r="A58" s="1" t="s">
        <v>116</v>
      </c>
      <c r="B58" s="1" t="s">
        <v>117</v>
      </c>
      <c r="C58" s="1" t="s">
        <v>112</v>
      </c>
      <c r="D58" s="1">
        <v>60</v>
      </c>
      <c r="E58">
        <f>VLOOKUP(A58,BBI_ED!$A$1:$C$205,2,FALSE)</f>
        <v>60</v>
      </c>
    </row>
    <row r="59" spans="1:5" x14ac:dyDescent="0.25">
      <c r="A59" s="1" t="s">
        <v>118</v>
      </c>
      <c r="B59" s="1" t="s">
        <v>119</v>
      </c>
      <c r="C59" s="1" t="s">
        <v>38</v>
      </c>
      <c r="D59" s="1">
        <v>1</v>
      </c>
      <c r="E59">
        <f>VLOOKUP(A59,BBI_ED!$A$1:$C$205,2,FALSE)</f>
        <v>1</v>
      </c>
    </row>
    <row r="60" spans="1:5" x14ac:dyDescent="0.25">
      <c r="A60" s="1" t="s">
        <v>120</v>
      </c>
      <c r="B60" s="1" t="s">
        <v>121</v>
      </c>
      <c r="C60" s="1" t="s">
        <v>38</v>
      </c>
      <c r="D60" s="1">
        <v>1</v>
      </c>
      <c r="E60">
        <f>VLOOKUP(A60,BBI_ED!$A$1:$C$205,2,FALSE)</f>
        <v>1</v>
      </c>
    </row>
    <row r="61" spans="1:5" x14ac:dyDescent="0.25">
      <c r="A61" s="1" t="s">
        <v>122</v>
      </c>
      <c r="B61" s="1" t="s">
        <v>123</v>
      </c>
      <c r="C61" s="1" t="s">
        <v>26</v>
      </c>
      <c r="D61" s="1">
        <v>4.62E-3</v>
      </c>
      <c r="E61">
        <f>VLOOKUP(A61,BBI_ED!$A$1:$C$205,2,FALSE)</f>
        <v>4.62E-3</v>
      </c>
    </row>
    <row r="62" spans="1:5" x14ac:dyDescent="0.25">
      <c r="A62" s="1" t="s">
        <v>124</v>
      </c>
      <c r="B62" s="1" t="s">
        <v>125</v>
      </c>
      <c r="C62" s="1" t="s">
        <v>61</v>
      </c>
      <c r="D62" s="1">
        <v>0</v>
      </c>
      <c r="E62" t="e">
        <f>VLOOKUP(A62,BBI_ED!$A$1:$C$205,2,FALSE)</f>
        <v>#N/A</v>
      </c>
    </row>
    <row r="63" spans="1:5" ht="30" x14ac:dyDescent="0.25">
      <c r="A63" s="1" t="s">
        <v>126</v>
      </c>
      <c r="B63" s="1" t="s">
        <v>127</v>
      </c>
      <c r="C63" s="1" t="s">
        <v>61</v>
      </c>
      <c r="D63" s="1">
        <v>9.8000000000000004E-2</v>
      </c>
      <c r="E63" t="e">
        <f>VLOOKUP(A63,BBI_ED!$A$1:$C$205,2,FALSE)</f>
        <v>#N/A</v>
      </c>
    </row>
    <row r="64" spans="1:5" ht="30" x14ac:dyDescent="0.25">
      <c r="A64" s="1" t="s">
        <v>128</v>
      </c>
      <c r="B64" s="1" t="s">
        <v>129</v>
      </c>
      <c r="C64" s="1" t="s">
        <v>61</v>
      </c>
      <c r="D64" s="1">
        <v>0.03</v>
      </c>
      <c r="E64" t="e">
        <f>VLOOKUP(A64,BBI_ED!$A$1:$C$205,2,FALSE)</f>
        <v>#N/A</v>
      </c>
    </row>
    <row r="65" spans="1:5" ht="30" x14ac:dyDescent="0.25">
      <c r="A65" s="1" t="s">
        <v>130</v>
      </c>
      <c r="B65" s="1" t="s">
        <v>131</v>
      </c>
      <c r="C65" s="1" t="s">
        <v>61</v>
      </c>
      <c r="D65" s="1">
        <v>0.05</v>
      </c>
      <c r="E65" t="e">
        <f>VLOOKUP(A65,BBI_ED!$A$1:$C$205,2,FALSE)</f>
        <v>#N/A</v>
      </c>
    </row>
    <row r="66" spans="1:5" x14ac:dyDescent="0.25">
      <c r="A66" s="1" t="s">
        <v>132</v>
      </c>
      <c r="B66" s="1" t="s">
        <v>133</v>
      </c>
      <c r="C66" s="1" t="s">
        <v>61</v>
      </c>
      <c r="D66" s="1">
        <v>0</v>
      </c>
      <c r="E66" t="e">
        <f>VLOOKUP(A66,BBI_ED!$A$1:$C$205,2,FALSE)</f>
        <v>#N/A</v>
      </c>
    </row>
    <row r="67" spans="1:5" x14ac:dyDescent="0.25">
      <c r="A67" s="1" t="s">
        <v>134</v>
      </c>
      <c r="B67" s="1" t="s">
        <v>135</v>
      </c>
      <c r="C67" s="1"/>
      <c r="D67" s="1">
        <v>2.44</v>
      </c>
      <c r="E67">
        <f>VLOOKUP(A67,BBI_ED!$A$1:$C$205,2,FALSE)</f>
        <v>2.44</v>
      </c>
    </row>
    <row r="68" spans="1:5" x14ac:dyDescent="0.25">
      <c r="A68" s="4" t="s">
        <v>224</v>
      </c>
      <c r="B68" s="5"/>
      <c r="C68" s="5"/>
      <c r="D68" s="5"/>
      <c r="E68" t="e">
        <f>VLOOKUP(A68,BBI_ED!$A$1:$C$205,2,FALSE)</f>
        <v>#N/A</v>
      </c>
    </row>
    <row r="69" spans="1:5" x14ac:dyDescent="0.25">
      <c r="A69" s="1" t="s">
        <v>136</v>
      </c>
      <c r="B69" s="1" t="s">
        <v>137</v>
      </c>
      <c r="D69" s="1">
        <v>1</v>
      </c>
      <c r="E69" t="e">
        <f>VLOOKUP(A69,BBI_ED!$A$1:$C$205,2,FALSE)</f>
        <v>#N/A</v>
      </c>
    </row>
    <row r="70" spans="1:5" x14ac:dyDescent="0.25">
      <c r="A70" s="1" t="s">
        <v>138</v>
      </c>
      <c r="B70" s="1" t="s">
        <v>139</v>
      </c>
      <c r="D70" s="1">
        <v>1</v>
      </c>
      <c r="E70" t="e">
        <f>VLOOKUP(A70,BBI_ED!$A$1:$C$205,2,FALSE)</f>
        <v>#N/A</v>
      </c>
    </row>
    <row r="71" spans="1:5" x14ac:dyDescent="0.25">
      <c r="A71" s="1" t="s">
        <v>140</v>
      </c>
      <c r="B71" s="1" t="s">
        <v>141</v>
      </c>
      <c r="D71" s="1">
        <v>0</v>
      </c>
      <c r="E71" t="e">
        <f>VLOOKUP(A71,BBI_ED!$A$1:$C$205,2,FALSE)</f>
        <v>#N/A</v>
      </c>
    </row>
    <row r="72" spans="1:5" x14ac:dyDescent="0.25">
      <c r="A72" s="1" t="s">
        <v>142</v>
      </c>
      <c r="B72" s="1" t="s">
        <v>143</v>
      </c>
      <c r="D72" s="1">
        <v>0</v>
      </c>
      <c r="E72" t="e">
        <f>VLOOKUP(A72,BBI_ED!$A$1:$C$205,2,FALSE)</f>
        <v>#N/A</v>
      </c>
    </row>
    <row r="73" spans="1:5" x14ac:dyDescent="0.25">
      <c r="A73" s="1" t="s">
        <v>144</v>
      </c>
      <c r="B73" s="1" t="s">
        <v>145</v>
      </c>
      <c r="D73" s="1">
        <v>0</v>
      </c>
      <c r="E73" t="e">
        <f>VLOOKUP(A73,BBI_ED!$A$1:$C$205,2,FALSE)</f>
        <v>#N/A</v>
      </c>
    </row>
    <row r="74" spans="1:5" x14ac:dyDescent="0.25">
      <c r="A74" s="1" t="s">
        <v>146</v>
      </c>
      <c r="B74" s="1" t="s">
        <v>147</v>
      </c>
      <c r="D74" s="1">
        <v>0</v>
      </c>
      <c r="E74" t="e">
        <f>VLOOKUP(A74,BBI_ED!$A$1:$C$205,2,FALSE)</f>
        <v>#N/A</v>
      </c>
    </row>
    <row r="75" spans="1:5" x14ac:dyDescent="0.25">
      <c r="A75" s="1" t="s">
        <v>148</v>
      </c>
      <c r="B75" s="1" t="s">
        <v>149</v>
      </c>
      <c r="D75" s="1">
        <v>0</v>
      </c>
      <c r="E75" t="e">
        <f>VLOOKUP(A75,BBI_ED!$A$1:$C$205,2,FALSE)</f>
        <v>#N/A</v>
      </c>
    </row>
    <row r="76" spans="1:5" x14ac:dyDescent="0.25">
      <c r="A76" s="1" t="s">
        <v>150</v>
      </c>
      <c r="B76" s="1" t="s">
        <v>151</v>
      </c>
      <c r="D76" s="1">
        <v>0</v>
      </c>
      <c r="E76" t="e">
        <f>VLOOKUP(A76,BBI_ED!$A$1:$C$205,2,FALSE)</f>
        <v>#N/A</v>
      </c>
    </row>
    <row r="77" spans="1:5" x14ac:dyDescent="0.25">
      <c r="A77" s="1" t="s">
        <v>152</v>
      </c>
      <c r="B77" s="1" t="s">
        <v>153</v>
      </c>
      <c r="D77" s="1">
        <v>0</v>
      </c>
      <c r="E77" t="e">
        <f>VLOOKUP(A77,BBI_ED!$A$1:$C$205,2,FALSE)</f>
        <v>#N/A</v>
      </c>
    </row>
    <row r="78" spans="1:5" x14ac:dyDescent="0.25">
      <c r="A78" s="1" t="s">
        <v>154</v>
      </c>
      <c r="B78" s="1" t="s">
        <v>155</v>
      </c>
      <c r="D78" s="1">
        <v>0</v>
      </c>
      <c r="E78" t="e">
        <f>VLOOKUP(A78,BBI_ED!$A$1:$C$205,2,FALSE)</f>
        <v>#N/A</v>
      </c>
    </row>
    <row r="79" spans="1:5" x14ac:dyDescent="0.25">
      <c r="A79" s="1" t="s">
        <v>156</v>
      </c>
      <c r="B79" s="1" t="s">
        <v>157</v>
      </c>
      <c r="D79" s="1">
        <v>0</v>
      </c>
      <c r="E79" t="e">
        <f>VLOOKUP(A79,BBI_ED!$A$1:$C$205,2,FALSE)</f>
        <v>#N/A</v>
      </c>
    </row>
    <row r="80" spans="1:5" x14ac:dyDescent="0.25">
      <c r="A80" s="1" t="s">
        <v>158</v>
      </c>
      <c r="B80" s="1" t="s">
        <v>159</v>
      </c>
      <c r="D80" s="1">
        <v>0</v>
      </c>
      <c r="E80" t="e">
        <f>VLOOKUP(A80,BBI_ED!$A$1:$C$205,2,FALSE)</f>
        <v>#N/A</v>
      </c>
    </row>
    <row r="81" spans="1:5" x14ac:dyDescent="0.25">
      <c r="A81" s="1" t="s">
        <v>160</v>
      </c>
      <c r="B81" s="1" t="s">
        <v>161</v>
      </c>
      <c r="D81" s="1">
        <v>0</v>
      </c>
      <c r="E81" t="e">
        <f>VLOOKUP(A81,BBI_ED!$A$1:$C$205,2,FALSE)</f>
        <v>#N/A</v>
      </c>
    </row>
    <row r="82" spans="1:5" x14ac:dyDescent="0.25">
      <c r="A82" s="1" t="s">
        <v>162</v>
      </c>
      <c r="B82" s="1" t="s">
        <v>163</v>
      </c>
      <c r="D82" s="1">
        <v>0</v>
      </c>
      <c r="E82" t="e">
        <f>VLOOKUP(A82,BBI_ED!$A$1:$C$205,2,FALSE)</f>
        <v>#N/A</v>
      </c>
    </row>
    <row r="83" spans="1:5" ht="30" x14ac:dyDescent="0.25">
      <c r="A83" s="1" t="s">
        <v>164</v>
      </c>
      <c r="B83" s="1" t="s">
        <v>165</v>
      </c>
      <c r="D83" s="1">
        <v>0</v>
      </c>
      <c r="E83" t="e">
        <f>VLOOKUP(A83,BBI_ED!$A$1:$C$205,2,FALSE)</f>
        <v>#N/A</v>
      </c>
    </row>
    <row r="84" spans="1:5" x14ac:dyDescent="0.25">
      <c r="A84" s="1" t="s">
        <v>166</v>
      </c>
      <c r="B84" s="1" t="s">
        <v>167</v>
      </c>
      <c r="D84" s="1">
        <v>0</v>
      </c>
      <c r="E84" t="e">
        <f>VLOOKUP(A84,BBI_ED!$A$1:$C$205,2,FALSE)</f>
        <v>#N/A</v>
      </c>
    </row>
    <row r="85" spans="1:5" x14ac:dyDescent="0.25">
      <c r="A85" s="1" t="s">
        <v>168</v>
      </c>
      <c r="B85" s="1" t="s">
        <v>169</v>
      </c>
      <c r="D85" s="1">
        <v>0</v>
      </c>
      <c r="E85" t="e">
        <f>VLOOKUP(A85,BBI_ED!$A$1:$C$205,2,FALSE)</f>
        <v>#N/A</v>
      </c>
    </row>
    <row r="86" spans="1:5" ht="30" x14ac:dyDescent="0.25">
      <c r="A86" s="1" t="s">
        <v>170</v>
      </c>
      <c r="B86" s="1" t="s">
        <v>171</v>
      </c>
      <c r="D86" s="1">
        <v>0</v>
      </c>
      <c r="E86" t="e">
        <f>VLOOKUP(A86,BBI_ED!$A$1:$C$205,2,FALSE)</f>
        <v>#N/A</v>
      </c>
    </row>
    <row r="87" spans="1:5" ht="30" x14ac:dyDescent="0.25">
      <c r="A87" s="1" t="s">
        <v>172</v>
      </c>
      <c r="B87" s="1" t="s">
        <v>173</v>
      </c>
      <c r="D87" s="1">
        <v>0</v>
      </c>
      <c r="E87" t="e">
        <f>VLOOKUP(A87,BBI_ED!$A$1:$C$205,2,FALSE)</f>
        <v>#N/A</v>
      </c>
    </row>
    <row r="88" spans="1:5" ht="30" x14ac:dyDescent="0.25">
      <c r="A88" s="1" t="s">
        <v>174</v>
      </c>
      <c r="B88" s="1" t="s">
        <v>175</v>
      </c>
      <c r="D88" s="1">
        <v>0</v>
      </c>
      <c r="E88" t="e">
        <f>VLOOKUP(A88,BBI_ED!$A$1:$C$205,2,FALSE)</f>
        <v>#N/A</v>
      </c>
    </row>
    <row r="89" spans="1:5" x14ac:dyDescent="0.25">
      <c r="A89" s="1" t="s">
        <v>176</v>
      </c>
      <c r="B89" s="1" t="s">
        <v>177</v>
      </c>
      <c r="D89" s="1">
        <v>0</v>
      </c>
      <c r="E89" t="e">
        <f>VLOOKUP(A89,BBI_ED!$A$1:$C$205,2,FALSE)</f>
        <v>#N/A</v>
      </c>
    </row>
    <row r="90" spans="1:5" x14ac:dyDescent="0.25">
      <c r="A90" s="11" t="s">
        <v>223</v>
      </c>
      <c r="B90" s="5"/>
      <c r="C90" s="5"/>
      <c r="D90" s="5"/>
      <c r="E90" t="e">
        <f>VLOOKUP(A90,BBI_ED!$A$1:$C$205,2,FALSE)</f>
        <v>#N/A</v>
      </c>
    </row>
    <row r="91" spans="1:5" ht="30" x14ac:dyDescent="0.25">
      <c r="A91" s="1" t="s">
        <v>178</v>
      </c>
      <c r="B91" s="1" t="s">
        <v>179</v>
      </c>
      <c r="D91" s="1">
        <v>0</v>
      </c>
      <c r="E91" t="e">
        <f>VLOOKUP(A91,BBI_ED!$A$1:$C$205,2,FALSE)</f>
        <v>#N/A</v>
      </c>
    </row>
    <row r="92" spans="1:5" x14ac:dyDescent="0.25">
      <c r="A92" s="1" t="s">
        <v>180</v>
      </c>
      <c r="B92" s="1" t="s">
        <v>181</v>
      </c>
      <c r="D92" s="1">
        <v>10000</v>
      </c>
      <c r="E92" t="e">
        <f>VLOOKUP(A92,BBI_ED!$A$1:$C$205,2,FALSE)</f>
        <v>#N/A</v>
      </c>
    </row>
    <row r="93" spans="1:5" x14ac:dyDescent="0.25">
      <c r="A93" s="1" t="s">
        <v>182</v>
      </c>
      <c r="B93" s="1" t="s">
        <v>183</v>
      </c>
      <c r="D93" s="1">
        <v>1</v>
      </c>
      <c r="E93" t="e">
        <f>VLOOKUP(A93,BBI_ED!$A$1:$C$205,2,FALSE)</f>
        <v>#N/A</v>
      </c>
    </row>
    <row r="94" spans="1:5" x14ac:dyDescent="0.25">
      <c r="A94" s="1" t="s">
        <v>184</v>
      </c>
      <c r="B94" s="1" t="s">
        <v>185</v>
      </c>
      <c r="D94" s="1">
        <v>-1</v>
      </c>
      <c r="E94" t="e">
        <f>VLOOKUP(A94,BBI_ED!$A$1:$C$205,2,FALSE)</f>
        <v>#N/A</v>
      </c>
    </row>
    <row r="95" spans="1:5" ht="30" x14ac:dyDescent="0.25">
      <c r="A95" s="1" t="s">
        <v>186</v>
      </c>
      <c r="B95" s="1" t="s">
        <v>187</v>
      </c>
      <c r="D95" s="1">
        <v>0.1</v>
      </c>
      <c r="E95" t="e">
        <f>VLOOKUP(A95,BBI_ED!$A$1:$C$205,2,FALSE)</f>
        <v>#N/A</v>
      </c>
    </row>
    <row r="96" spans="1:5" ht="30" x14ac:dyDescent="0.25">
      <c r="A96" s="1" t="s">
        <v>188</v>
      </c>
      <c r="B96" s="1" t="s">
        <v>189</v>
      </c>
      <c r="D96" s="1">
        <v>8</v>
      </c>
      <c r="E96" t="e">
        <f>VLOOKUP(A96,BBI_ED!$A$1:$C$205,2,FALSE)</f>
        <v>#N/A</v>
      </c>
    </row>
    <row r="97" spans="1:5" ht="30" x14ac:dyDescent="0.25">
      <c r="A97" s="1" t="s">
        <v>190</v>
      </c>
      <c r="B97" s="1" t="s">
        <v>191</v>
      </c>
      <c r="D97" s="1">
        <v>0.01</v>
      </c>
      <c r="E97" t="e">
        <f>VLOOKUP(A97,BBI_ED!$A$1:$C$205,2,FALSE)</f>
        <v>#N/A</v>
      </c>
    </row>
    <row r="98" spans="1:5" ht="30" x14ac:dyDescent="0.25">
      <c r="A98" s="1" t="s">
        <v>192</v>
      </c>
      <c r="B98" s="1" t="s">
        <v>191</v>
      </c>
      <c r="D98" s="1">
        <v>10</v>
      </c>
      <c r="E98" t="e">
        <f>VLOOKUP(A98,BBI_ED!$A$1:$C$205,2,FALSE)</f>
        <v>#N/A</v>
      </c>
    </row>
    <row r="99" spans="1:5" x14ac:dyDescent="0.25">
      <c r="A99" s="1" t="s">
        <v>193</v>
      </c>
      <c r="B99" s="1" t="s">
        <v>194</v>
      </c>
      <c r="D99" s="1">
        <v>1000</v>
      </c>
      <c r="E99" t="e">
        <f>VLOOKUP(A99,BBI_ED!$A$1:$C$205,2,FALSE)</f>
        <v>#N/A</v>
      </c>
    </row>
    <row r="100" spans="1:5" x14ac:dyDescent="0.25">
      <c r="A100" s="1" t="s">
        <v>195</v>
      </c>
      <c r="B100" s="1" t="s">
        <v>196</v>
      </c>
      <c r="D100" s="1">
        <v>10</v>
      </c>
      <c r="E100" t="e">
        <f>VLOOKUP(A100,BBI_ED!$A$1:$C$205,2,FALSE)</f>
        <v>#N/A</v>
      </c>
    </row>
    <row r="101" spans="1:5" x14ac:dyDescent="0.25">
      <c r="A101" s="1" t="s">
        <v>197</v>
      </c>
      <c r="B101" s="1" t="s">
        <v>198</v>
      </c>
      <c r="D101" s="1">
        <v>1.4999999999999999E-2</v>
      </c>
      <c r="E101" t="e">
        <f>VLOOKUP(A101,BBI_ED!$A$1:$C$205,2,FALSE)</f>
        <v>#N/A</v>
      </c>
    </row>
    <row r="102" spans="1:5" x14ac:dyDescent="0.25">
      <c r="A102" s="1" t="s">
        <v>199</v>
      </c>
      <c r="B102" s="1" t="s">
        <v>200</v>
      </c>
      <c r="D102" s="1">
        <v>-15</v>
      </c>
      <c r="E102" t="e">
        <f>VLOOKUP(A102,BBI_ED!$A$1:$C$205,2,FALSE)</f>
        <v>#N/A</v>
      </c>
    </row>
    <row r="103" spans="1:5" x14ac:dyDescent="0.25">
      <c r="A103" s="1" t="s">
        <v>201</v>
      </c>
      <c r="B103" s="1" t="s">
        <v>202</v>
      </c>
      <c r="D103" s="1">
        <v>-2</v>
      </c>
      <c r="E103" t="e">
        <f>VLOOKUP(A103,BBI_ED!$A$1:$C$205,2,FALSE)</f>
        <v>#N/A</v>
      </c>
    </row>
    <row r="104" spans="1:5" x14ac:dyDescent="0.25">
      <c r="A104" s="1" t="s">
        <v>203</v>
      </c>
      <c r="B104" s="1" t="s">
        <v>204</v>
      </c>
      <c r="D104" s="1">
        <v>-8.9999999999999993E-3</v>
      </c>
      <c r="E104" t="e">
        <f>VLOOKUP(A104,BBI_ED!$A$1:$C$205,2,FALSE)</f>
        <v>#N/A</v>
      </c>
    </row>
    <row r="105" spans="1:5" ht="30" x14ac:dyDescent="0.25">
      <c r="A105" s="1" t="s">
        <v>205</v>
      </c>
      <c r="B105" s="1" t="s">
        <v>206</v>
      </c>
      <c r="D105" s="1">
        <v>3.0000000000000001E-3</v>
      </c>
      <c r="E105" t="e">
        <f>VLOOKUP(A105,BBI_ED!$A$1:$C$205,2,FALSE)</f>
        <v>#N/A</v>
      </c>
    </row>
    <row r="106" spans="1:5" ht="30" x14ac:dyDescent="0.25">
      <c r="A106" s="1" t="s">
        <v>207</v>
      </c>
      <c r="B106" s="1" t="s">
        <v>208</v>
      </c>
      <c r="D106" s="1">
        <v>20</v>
      </c>
      <c r="E106" t="e">
        <f>VLOOKUP(A106,BBI_ED!$A$1:$C$205,2,FALSE)</f>
        <v>#N/A</v>
      </c>
    </row>
    <row r="107" spans="1:5" ht="30" x14ac:dyDescent="0.25">
      <c r="A107" s="1" t="s">
        <v>209</v>
      </c>
      <c r="B107" s="1" t="s">
        <v>210</v>
      </c>
      <c r="D107" s="1">
        <v>1.8800000000000001E-2</v>
      </c>
      <c r="E107" t="e">
        <f>VLOOKUP(A107,BBI_ED!$A$1:$C$205,2,FALSE)</f>
        <v>#N/A</v>
      </c>
    </row>
    <row r="108" spans="1:5" x14ac:dyDescent="0.25">
      <c r="A108" s="1" t="s">
        <v>211</v>
      </c>
      <c r="B108" s="1" t="s">
        <v>212</v>
      </c>
      <c r="D108" s="1">
        <v>3.0000000000000001E-3</v>
      </c>
      <c r="E108" t="e">
        <f>VLOOKUP(A108,BBI_ED!$A$1:$C$205,2,FALSE)</f>
        <v>#N/A</v>
      </c>
    </row>
    <row r="109" spans="1:5" x14ac:dyDescent="0.25">
      <c r="A109" s="1" t="s">
        <v>213</v>
      </c>
      <c r="B109" s="1" t="s">
        <v>214</v>
      </c>
      <c r="D109" s="1">
        <v>0.4</v>
      </c>
      <c r="E109" t="e">
        <f>VLOOKUP(A109,BBI_ED!$A$1:$C$205,2,FALSE)</f>
        <v>#N/A</v>
      </c>
    </row>
    <row r="110" spans="1:5" ht="30" x14ac:dyDescent="0.25">
      <c r="A110" s="1" t="s">
        <v>215</v>
      </c>
      <c r="B110" s="1" t="s">
        <v>216</v>
      </c>
      <c r="D110" s="1">
        <v>5.0000000000000001E-4</v>
      </c>
      <c r="E110" t="e">
        <f>VLOOKUP(A110,BBI_ED!$A$1:$C$205,2,FALSE)</f>
        <v>#N/A</v>
      </c>
    </row>
    <row r="111" spans="1:5" x14ac:dyDescent="0.25">
      <c r="A111" s="1" t="s">
        <v>217</v>
      </c>
      <c r="B111" s="1" t="s">
        <v>218</v>
      </c>
      <c r="D111" s="1">
        <v>0.3</v>
      </c>
      <c r="E111" t="e">
        <f>VLOOKUP(A111,BBI_ED!$A$1:$C$205,2,FALSE)</f>
        <v>#N/A</v>
      </c>
    </row>
    <row r="112" spans="1:5" x14ac:dyDescent="0.25">
      <c r="A112" s="1" t="s">
        <v>219</v>
      </c>
      <c r="B112" s="1" t="s">
        <v>220</v>
      </c>
      <c r="D112" s="1">
        <v>10</v>
      </c>
      <c r="E112" t="e">
        <f>VLOOKUP(A112,BBI_ED!$A$1:$C$205,2,FALSE)</f>
        <v>#N/A</v>
      </c>
    </row>
    <row r="113" spans="1:5" x14ac:dyDescent="0.25">
      <c r="A113" s="1" t="s">
        <v>221</v>
      </c>
      <c r="B113" s="1" t="s">
        <v>222</v>
      </c>
      <c r="D113" s="1">
        <v>1</v>
      </c>
      <c r="E113" t="e">
        <f>VLOOKUP(A113,BBI_ED!$A$1:$C$205,2,FALSE)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97E0-2420-4E01-AC03-6A3178E9F33B}">
  <dimension ref="A1:I33"/>
  <sheetViews>
    <sheetView workbookViewId="0">
      <selection activeCell="I28" sqref="I28:I33"/>
    </sheetView>
  </sheetViews>
  <sheetFormatPr defaultColWidth="11.42578125" defaultRowHeight="15" x14ac:dyDescent="0.25"/>
  <cols>
    <col min="2" max="2" width="43.42578125" customWidth="1"/>
    <col min="3" max="3" width="16.42578125" customWidth="1"/>
    <col min="4" max="4" width="17.140625" customWidth="1"/>
  </cols>
  <sheetData>
    <row r="1" spans="1:9" x14ac:dyDescent="0.25">
      <c r="A1" s="8" t="s">
        <v>516</v>
      </c>
      <c r="B1" s="8" t="s">
        <v>515</v>
      </c>
      <c r="C1" s="8" t="s">
        <v>513</v>
      </c>
      <c r="D1" s="8" t="s">
        <v>514</v>
      </c>
    </row>
    <row r="2" spans="1:9" x14ac:dyDescent="0.25">
      <c r="A2" s="2" t="s">
        <v>228</v>
      </c>
      <c r="B2" s="2" t="s">
        <v>229</v>
      </c>
      <c r="C2" s="2" t="s">
        <v>26</v>
      </c>
      <c r="D2" s="2">
        <v>0.2094</v>
      </c>
      <c r="E2">
        <f>VLOOKUP(A2,BBI_ED!$A$1:$C$205,2,FALSE)</f>
        <v>0.2094</v>
      </c>
      <c r="H2" s="2" t="s">
        <v>228</v>
      </c>
      <c r="I2" t="s">
        <v>799</v>
      </c>
    </row>
    <row r="3" spans="1:9" x14ac:dyDescent="0.25">
      <c r="A3" s="2" t="s">
        <v>230</v>
      </c>
      <c r="B3" s="2" t="s">
        <v>231</v>
      </c>
      <c r="C3" s="2" t="s">
        <v>26</v>
      </c>
      <c r="D3" s="2">
        <v>2.9999999999999997E-4</v>
      </c>
      <c r="E3">
        <f>VLOOKUP(A3,BBI_ED!$A$1:$C$205,2,FALSE)</f>
        <v>2.9999999999999997E-4</v>
      </c>
      <c r="H3" s="2" t="s">
        <v>230</v>
      </c>
      <c r="I3" t="s">
        <v>800</v>
      </c>
    </row>
    <row r="4" spans="1:9" x14ac:dyDescent="0.25">
      <c r="A4" s="2" t="s">
        <v>232</v>
      </c>
      <c r="B4" s="2" t="s">
        <v>234</v>
      </c>
      <c r="C4" s="2" t="s">
        <v>233</v>
      </c>
      <c r="D4" s="2">
        <v>1448000</v>
      </c>
      <c r="E4">
        <f>VLOOKUP(A4,BBI_ED!$A$1:$C$205,2,FALSE)</f>
        <v>1448000</v>
      </c>
      <c r="H4" s="2" t="s">
        <v>232</v>
      </c>
      <c r="I4" t="s">
        <v>802</v>
      </c>
    </row>
    <row r="5" spans="1:9" x14ac:dyDescent="0.25">
      <c r="A5" s="2" t="s">
        <v>235</v>
      </c>
      <c r="B5" s="2" t="s">
        <v>236</v>
      </c>
      <c r="C5" s="2" t="s">
        <v>233</v>
      </c>
      <c r="D5" s="2">
        <v>1440000</v>
      </c>
      <c r="E5" t="e">
        <f>VLOOKUP(A5,BBI_ED!$A$1:$C$205,2,FALSE)</f>
        <v>#N/A</v>
      </c>
      <c r="H5" s="2" t="s">
        <v>235</v>
      </c>
      <c r="I5" t="s">
        <v>803</v>
      </c>
    </row>
    <row r="6" spans="1:9" x14ac:dyDescent="0.25">
      <c r="A6" s="2" t="s">
        <v>237</v>
      </c>
      <c r="B6" s="2" t="s">
        <v>238</v>
      </c>
      <c r="C6" s="2" t="s">
        <v>233</v>
      </c>
      <c r="D6" s="2">
        <v>30010</v>
      </c>
      <c r="E6">
        <f>VLOOKUP(A6,BBI_ED!$A$1:$C$205,2,FALSE)</f>
        <v>30010</v>
      </c>
      <c r="H6" s="2" t="s">
        <v>237</v>
      </c>
      <c r="I6" t="s">
        <v>804</v>
      </c>
    </row>
    <row r="7" spans="1:9" x14ac:dyDescent="0.25">
      <c r="A7" s="2" t="s">
        <v>239</v>
      </c>
      <c r="B7" s="2" t="s">
        <v>240</v>
      </c>
      <c r="C7" s="2" t="s">
        <v>233</v>
      </c>
      <c r="D7" s="2">
        <v>30010</v>
      </c>
      <c r="E7" t="e">
        <f>VLOOKUP(A7,BBI_ED!$A$1:$C$205,2,FALSE)</f>
        <v>#N/A</v>
      </c>
      <c r="H7" s="2" t="s">
        <v>239</v>
      </c>
      <c r="I7" t="s">
        <v>805</v>
      </c>
    </row>
    <row r="8" spans="1:9" x14ac:dyDescent="0.25">
      <c r="A8" s="2" t="s">
        <v>241</v>
      </c>
      <c r="B8" s="2" t="s">
        <v>243</v>
      </c>
      <c r="C8" s="2" t="s">
        <v>242</v>
      </c>
      <c r="D8" s="2">
        <v>22.411999999999999</v>
      </c>
      <c r="E8">
        <f>VLOOKUP(A8,BBI_ED!$A$1:$C$205,2,FALSE)</f>
        <v>22.411999999999999</v>
      </c>
      <c r="H8" s="2" t="s">
        <v>241</v>
      </c>
      <c r="I8" t="s">
        <v>806</v>
      </c>
    </row>
    <row r="9" spans="1:9" x14ac:dyDescent="0.25">
      <c r="A9" s="2" t="s">
        <v>244</v>
      </c>
      <c r="B9" s="2" t="s">
        <v>245</v>
      </c>
      <c r="C9" s="2" t="s">
        <v>112</v>
      </c>
      <c r="D9" s="2">
        <v>32</v>
      </c>
      <c r="E9">
        <f>VLOOKUP(A9,BBI_ED!$A$1:$C$205,2,FALSE)</f>
        <v>32</v>
      </c>
      <c r="H9" s="2" t="s">
        <v>244</v>
      </c>
      <c r="I9" t="s">
        <v>807</v>
      </c>
    </row>
    <row r="10" spans="1:9" x14ac:dyDescent="0.25">
      <c r="A10" s="2" t="s">
        <v>246</v>
      </c>
      <c r="B10" s="2" t="s">
        <v>247</v>
      </c>
      <c r="C10" s="2" t="s">
        <v>112</v>
      </c>
      <c r="D10" s="2">
        <v>44</v>
      </c>
      <c r="E10">
        <f>VLOOKUP(A10,BBI_ED!$A$1:$C$205,2,FALSE)</f>
        <v>44</v>
      </c>
      <c r="H10" s="2" t="s">
        <v>246</v>
      </c>
      <c r="I10" t="s">
        <v>808</v>
      </c>
    </row>
    <row r="11" spans="1:9" x14ac:dyDescent="0.25">
      <c r="A11" s="2" t="s">
        <v>248</v>
      </c>
      <c r="B11" s="2" t="s">
        <v>250</v>
      </c>
      <c r="C11" s="2" t="s">
        <v>249</v>
      </c>
      <c r="D11" s="2">
        <v>273.14999999999998</v>
      </c>
      <c r="E11">
        <f>VLOOKUP(A11,BBI_ED!$A$1:$C$205,2,FALSE)</f>
        <v>273.14999999999998</v>
      </c>
      <c r="H11" s="2" t="s">
        <v>248</v>
      </c>
      <c r="I11" t="s">
        <v>809</v>
      </c>
    </row>
    <row r="12" spans="1:9" x14ac:dyDescent="0.25">
      <c r="A12" s="2" t="s">
        <v>251</v>
      </c>
      <c r="B12" s="2" t="s">
        <v>253</v>
      </c>
      <c r="C12" s="2" t="s">
        <v>252</v>
      </c>
      <c r="D12" s="2">
        <v>101330</v>
      </c>
      <c r="E12">
        <f>VLOOKUP(A12,BBI_ED!$A$1:$C$205,2,FALSE)</f>
        <v>101300</v>
      </c>
      <c r="H12" s="2" t="s">
        <v>251</v>
      </c>
      <c r="I12" t="s">
        <v>810</v>
      </c>
    </row>
    <row r="13" spans="1:9" x14ac:dyDescent="0.25">
      <c r="A13" s="2" t="s">
        <v>254</v>
      </c>
      <c r="B13" s="2" t="s">
        <v>256</v>
      </c>
      <c r="C13" s="2" t="s">
        <v>255</v>
      </c>
      <c r="D13" s="2">
        <v>8314</v>
      </c>
      <c r="E13">
        <f>VLOOKUP(A13,BBI_ED!$A$1:$C$205,2,FALSE)</f>
        <v>8314</v>
      </c>
      <c r="H13" s="2" t="s">
        <v>254</v>
      </c>
      <c r="I13" t="s">
        <v>254</v>
      </c>
    </row>
    <row r="14" spans="1:9" x14ac:dyDescent="0.25">
      <c r="A14" s="2" t="s">
        <v>257</v>
      </c>
      <c r="B14" s="2" t="s">
        <v>259</v>
      </c>
      <c r="C14" s="2" t="s">
        <v>258</v>
      </c>
      <c r="D14" s="2">
        <v>-2.7230000000000001E-2</v>
      </c>
      <c r="E14">
        <f>VLOOKUP(A14,BBI_ED!$A$1:$C$205,2,FALSE)</f>
        <v>-2.7230000000000001E-2</v>
      </c>
      <c r="H14" s="2" t="s">
        <v>257</v>
      </c>
      <c r="I14" t="s">
        <v>811</v>
      </c>
    </row>
    <row r="15" spans="1:9" x14ac:dyDescent="0.25">
      <c r="A15" s="2" t="s">
        <v>260</v>
      </c>
      <c r="B15" s="2" t="s">
        <v>259</v>
      </c>
      <c r="C15" s="2" t="s">
        <v>261</v>
      </c>
      <c r="D15" s="2">
        <v>5.6269999999999996E-4</v>
      </c>
      <c r="E15">
        <f>VLOOKUP(A15,BBI_ED!$A$1:$C$205,2,FALSE)</f>
        <v>5.6269999999999996E-4</v>
      </c>
      <c r="H15" s="2" t="s">
        <v>260</v>
      </c>
      <c r="I15" t="s">
        <v>812</v>
      </c>
    </row>
    <row r="16" spans="1:9" x14ac:dyDescent="0.25">
      <c r="A16" s="2" t="s">
        <v>262</v>
      </c>
      <c r="B16" s="2" t="s">
        <v>259</v>
      </c>
      <c r="C16" s="2" t="s">
        <v>263</v>
      </c>
      <c r="D16" s="2">
        <v>-6.5969999999999997E-6</v>
      </c>
      <c r="E16">
        <f>VLOOKUP(A16,BBI_ED!$A$1:$C$205,2,FALSE)</f>
        <v>-6.5969999999999997E-6</v>
      </c>
      <c r="H16" s="2" t="s">
        <v>262</v>
      </c>
      <c r="I16" t="s">
        <v>813</v>
      </c>
    </row>
    <row r="17" spans="1:9" x14ac:dyDescent="0.25">
      <c r="A17" s="2" t="s">
        <v>264</v>
      </c>
      <c r="B17" s="2" t="s">
        <v>259</v>
      </c>
      <c r="C17" s="2" t="s">
        <v>265</v>
      </c>
      <c r="D17" s="7">
        <v>3.2829999999999997E-8</v>
      </c>
      <c r="E17">
        <f>VLOOKUP(A17,BBI_ED!$A$1:$C$205,2,FALSE)</f>
        <v>3.2829999999999997E-8</v>
      </c>
      <c r="H17" s="2" t="s">
        <v>264</v>
      </c>
      <c r="I17" t="s">
        <v>814</v>
      </c>
    </row>
    <row r="18" spans="1:9" x14ac:dyDescent="0.25">
      <c r="A18" s="2" t="s">
        <v>266</v>
      </c>
      <c r="B18" s="2" t="s">
        <v>267</v>
      </c>
      <c r="C18" s="2" t="s">
        <v>258</v>
      </c>
      <c r="D18" s="2">
        <v>-3.8890000000000001E-2</v>
      </c>
      <c r="E18">
        <f>VLOOKUP(A18,BBI_ED!$A$1:$C$205,2,FALSE)</f>
        <v>-3.8890000000000001E-2</v>
      </c>
      <c r="H18" s="2" t="s">
        <v>266</v>
      </c>
      <c r="I18" t="s">
        <v>815</v>
      </c>
    </row>
    <row r="19" spans="1:9" x14ac:dyDescent="0.25">
      <c r="A19" s="2" t="s">
        <v>268</v>
      </c>
      <c r="B19" s="2" t="s">
        <v>267</v>
      </c>
      <c r="C19" s="2" t="s">
        <v>261</v>
      </c>
      <c r="D19" s="2">
        <v>9.4419999999999997E-4</v>
      </c>
      <c r="E19">
        <f>VLOOKUP(A19,BBI_ED!$A$1:$C$205,2,FALSE)</f>
        <v>9.4419999999999997E-4</v>
      </c>
      <c r="H19" s="2" t="s">
        <v>268</v>
      </c>
      <c r="I19" t="s">
        <v>816</v>
      </c>
    </row>
    <row r="20" spans="1:9" x14ac:dyDescent="0.25">
      <c r="A20" s="2" t="s">
        <v>269</v>
      </c>
      <c r="B20" s="2" t="s">
        <v>267</v>
      </c>
      <c r="C20" s="2" t="s">
        <v>263</v>
      </c>
      <c r="D20" s="2">
        <v>-1.328E-5</v>
      </c>
      <c r="E20">
        <f>VLOOKUP(A20,BBI_ED!$A$1:$C$205,2,FALSE)</f>
        <v>-1.328E-5</v>
      </c>
      <c r="H20" s="2" t="s">
        <v>269</v>
      </c>
      <c r="I20" t="s">
        <v>817</v>
      </c>
    </row>
    <row r="21" spans="1:9" x14ac:dyDescent="0.25">
      <c r="A21" s="2" t="s">
        <v>270</v>
      </c>
      <c r="B21" s="2" t="s">
        <v>267</v>
      </c>
      <c r="C21" s="2" t="s">
        <v>265</v>
      </c>
      <c r="D21" s="7">
        <v>8.1050000000000001E-8</v>
      </c>
      <c r="E21">
        <f>VLOOKUP(A21,BBI_ED!$A$1:$C$205,2,FALSE)</f>
        <v>8.1050000000000001E-8</v>
      </c>
      <c r="H21" s="2" t="s">
        <v>270</v>
      </c>
      <c r="I21" t="s">
        <v>818</v>
      </c>
    </row>
    <row r="22" spans="1:9" x14ac:dyDescent="0.25">
      <c r="A22" s="2" t="s">
        <v>271</v>
      </c>
      <c r="B22" s="2" t="s">
        <v>272</v>
      </c>
      <c r="C22" s="2" t="s">
        <v>61</v>
      </c>
      <c r="D22" s="2">
        <v>9.9999999999999995E-8</v>
      </c>
      <c r="E22">
        <f>VLOOKUP(A22,BBI_ED!$A$1:$C$205,2,FALSE)</f>
        <v>9.9999999999999995E-8</v>
      </c>
      <c r="H22" s="2" t="s">
        <v>271</v>
      </c>
      <c r="I22" t="s">
        <v>819</v>
      </c>
    </row>
    <row r="23" spans="1:9" x14ac:dyDescent="0.25">
      <c r="A23" s="2" t="s">
        <v>273</v>
      </c>
      <c r="B23" s="2" t="s">
        <v>275</v>
      </c>
      <c r="C23" s="2" t="s">
        <v>274</v>
      </c>
      <c r="D23" s="2">
        <v>1.167</v>
      </c>
      <c r="E23">
        <f>VLOOKUP(A23,BBI_ED!$A$1:$C$205,2,FALSE)</f>
        <v>1.167</v>
      </c>
      <c r="H23" s="2" t="s">
        <v>273</v>
      </c>
      <c r="I23" t="s">
        <v>820</v>
      </c>
    </row>
    <row r="24" spans="1:9" x14ac:dyDescent="0.25">
      <c r="A24" s="2" t="s">
        <v>276</v>
      </c>
      <c r="B24" s="2" t="s">
        <v>278</v>
      </c>
      <c r="C24" s="2" t="s">
        <v>277</v>
      </c>
      <c r="D24" s="2">
        <v>2170</v>
      </c>
      <c r="E24">
        <f>VLOOKUP(A24,BBI_ED!$A$1:$C$205,2,FALSE)</f>
        <v>2170</v>
      </c>
      <c r="H24" s="2" t="s">
        <v>276</v>
      </c>
      <c r="I24" t="s">
        <v>823</v>
      </c>
    </row>
    <row r="25" spans="1:9" x14ac:dyDescent="0.25">
      <c r="A25" s="2" t="s">
        <v>279</v>
      </c>
      <c r="B25" s="2" t="s">
        <v>281</v>
      </c>
      <c r="C25" s="2" t="s">
        <v>280</v>
      </c>
      <c r="D25" s="2">
        <v>1.0020000000000001E-3</v>
      </c>
      <c r="E25">
        <f>VLOOKUP(A25,BBI_ED!$A$1:$C$205,2,FALSE)</f>
        <v>1.0020000000000001E-3</v>
      </c>
      <c r="H25" s="2" t="s">
        <v>279</v>
      </c>
      <c r="I25" t="s">
        <v>826</v>
      </c>
    </row>
    <row r="26" spans="1:9" x14ac:dyDescent="0.25">
      <c r="A26" s="2" t="s">
        <v>282</v>
      </c>
      <c r="B26" s="2" t="s">
        <v>283</v>
      </c>
      <c r="C26" s="2" t="s">
        <v>280</v>
      </c>
      <c r="D26" s="2">
        <v>1E-3</v>
      </c>
      <c r="E26">
        <f>VLOOKUP(A26,BBI_ED!$A$1:$C$205,2,FALSE)</f>
        <v>0.01</v>
      </c>
      <c r="H26" s="2" t="s">
        <v>282</v>
      </c>
      <c r="I26" t="s">
        <v>827</v>
      </c>
    </row>
    <row r="27" spans="1:9" x14ac:dyDescent="0.25">
      <c r="A27" s="2" t="s">
        <v>284</v>
      </c>
      <c r="B27" s="2" t="s">
        <v>285</v>
      </c>
      <c r="C27" s="2" t="s">
        <v>41</v>
      </c>
      <c r="D27" s="2">
        <v>100</v>
      </c>
      <c r="E27">
        <f>VLOOKUP(A27,BBI_ED!$A$1:$C$205,2,FALSE)</f>
        <v>100</v>
      </c>
      <c r="H27" s="2" t="s">
        <v>284</v>
      </c>
      <c r="I27" t="s">
        <v>284</v>
      </c>
    </row>
    <row r="28" spans="1:9" x14ac:dyDescent="0.25">
      <c r="A28" s="2" t="s">
        <v>286</v>
      </c>
      <c r="B28" s="2" t="s">
        <v>288</v>
      </c>
      <c r="C28" s="2" t="s">
        <v>287</v>
      </c>
      <c r="D28" s="2">
        <v>1500</v>
      </c>
      <c r="E28">
        <f>VLOOKUP(A28,BBI_ED!$A$1:$C$205,2,FALSE)</f>
        <v>1500</v>
      </c>
      <c r="H28" s="2" t="s">
        <v>286</v>
      </c>
      <c r="I28" t="s">
        <v>801</v>
      </c>
    </row>
    <row r="29" spans="1:9" x14ac:dyDescent="0.25">
      <c r="A29" s="2" t="s">
        <v>289</v>
      </c>
      <c r="B29" s="2" t="s">
        <v>290</v>
      </c>
      <c r="C29" s="2" t="s">
        <v>61</v>
      </c>
      <c r="D29" s="2">
        <v>4.3099999999999998E-7</v>
      </c>
      <c r="E29">
        <f>VLOOKUP(A29,BBI_ED!$A$1:$C$205,2,FALSE)</f>
        <v>4.3099999999999998E-7</v>
      </c>
      <c r="H29" s="2" t="s">
        <v>289</v>
      </c>
      <c r="I29" t="s">
        <v>821</v>
      </c>
    </row>
    <row r="30" spans="1:9" x14ac:dyDescent="0.25">
      <c r="A30" s="2" t="s">
        <v>291</v>
      </c>
      <c r="B30" s="2" t="s">
        <v>292</v>
      </c>
      <c r="C30" s="2" t="s">
        <v>61</v>
      </c>
      <c r="D30" s="7">
        <v>5.6099999999999999E-11</v>
      </c>
      <c r="E30">
        <f>VLOOKUP(A30,BBI_ED!$A$1:$C$205,2,FALSE)</f>
        <v>5.6099999999999999E-11</v>
      </c>
      <c r="H30" s="2" t="s">
        <v>291</v>
      </c>
      <c r="I30" t="s">
        <v>822</v>
      </c>
    </row>
    <row r="31" spans="1:9" x14ac:dyDescent="0.25">
      <c r="A31" s="2" t="s">
        <v>293</v>
      </c>
      <c r="B31" s="2" t="s">
        <v>294</v>
      </c>
      <c r="C31" s="2" t="s">
        <v>26</v>
      </c>
      <c r="D31" s="2">
        <v>0.5</v>
      </c>
      <c r="E31">
        <f>VLOOKUP(A31,BBI_ED!$A$1:$C$205,2,FALSE)</f>
        <v>0.5</v>
      </c>
      <c r="H31" s="2" t="s">
        <v>293</v>
      </c>
      <c r="I31" t="s">
        <v>824</v>
      </c>
    </row>
    <row r="32" spans="1:9" x14ac:dyDescent="0.25">
      <c r="A32" s="2" t="s">
        <v>295</v>
      </c>
      <c r="B32" s="2" t="s">
        <v>294</v>
      </c>
      <c r="C32" s="2" t="s">
        <v>26</v>
      </c>
      <c r="D32" s="2">
        <v>0.5</v>
      </c>
      <c r="E32">
        <f>VLOOKUP(A32,BBI_ED!$A$1:$C$205,2,FALSE)</f>
        <v>0.5</v>
      </c>
      <c r="H32" s="2" t="s">
        <v>295</v>
      </c>
    </row>
    <row r="33" spans="1:9" x14ac:dyDescent="0.25">
      <c r="A33" s="2" t="s">
        <v>296</v>
      </c>
      <c r="B33" s="2" t="s">
        <v>294</v>
      </c>
      <c r="C33" s="2" t="s">
        <v>26</v>
      </c>
      <c r="D33" s="2">
        <v>-0.05</v>
      </c>
      <c r="E33">
        <f>VLOOKUP(A33,BBI_ED!$A$1:$C$205,2,FALSE)</f>
        <v>-0.05</v>
      </c>
      <c r="H33" s="2" t="s">
        <v>296</v>
      </c>
      <c r="I33" t="s">
        <v>825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41A4-0767-49EF-91B3-536A2969574B}">
  <dimension ref="A1:L59"/>
  <sheetViews>
    <sheetView zoomScale="85" zoomScaleNormal="85" workbookViewId="0">
      <selection activeCell="L20" sqref="L20:L59"/>
    </sheetView>
  </sheetViews>
  <sheetFormatPr defaultColWidth="11.42578125" defaultRowHeight="15" x14ac:dyDescent="0.25"/>
  <cols>
    <col min="1" max="1" width="16.140625" customWidth="1"/>
    <col min="2" max="2" width="46.7109375" customWidth="1"/>
  </cols>
  <sheetData>
    <row r="1" spans="1:12" x14ac:dyDescent="0.25">
      <c r="A1" t="s">
        <v>297</v>
      </c>
      <c r="D1" t="s">
        <v>519</v>
      </c>
      <c r="E1" t="s">
        <v>581</v>
      </c>
    </row>
    <row r="2" spans="1:12" x14ac:dyDescent="0.25">
      <c r="A2" t="s">
        <v>298</v>
      </c>
      <c r="D2">
        <v>5.5</v>
      </c>
    </row>
    <row r="3" spans="1:12" x14ac:dyDescent="0.25">
      <c r="A3" s="8" t="s">
        <v>425</v>
      </c>
      <c r="B3" s="5" t="s">
        <v>515</v>
      </c>
      <c r="C3" s="5" t="s">
        <v>513</v>
      </c>
      <c r="D3" s="5" t="s">
        <v>514</v>
      </c>
    </row>
    <row r="4" spans="1:12" x14ac:dyDescent="0.25">
      <c r="A4" s="1" t="s">
        <v>299</v>
      </c>
      <c r="B4" s="2" t="s">
        <v>300</v>
      </c>
      <c r="C4" s="1" t="s">
        <v>21</v>
      </c>
      <c r="D4" s="1">
        <v>0.5</v>
      </c>
      <c r="E4">
        <f>VLOOKUP(A4,BBI_ED!$A$1:$C$205,2,FALSE)</f>
        <v>0</v>
      </c>
      <c r="K4" s="1" t="s">
        <v>299</v>
      </c>
      <c r="L4" t="s">
        <v>705</v>
      </c>
    </row>
    <row r="5" spans="1:12" x14ac:dyDescent="0.25">
      <c r="A5" s="1" t="s">
        <v>301</v>
      </c>
      <c r="B5" s="2" t="s">
        <v>302</v>
      </c>
      <c r="C5" s="1" t="s">
        <v>10</v>
      </c>
      <c r="D5" s="1">
        <v>20</v>
      </c>
      <c r="E5">
        <f>VLOOKUP(A5,BBI_ED!$A$1:$C$205,2,FALSE)</f>
        <v>10</v>
      </c>
      <c r="K5" s="1" t="s">
        <v>301</v>
      </c>
      <c r="L5" t="s">
        <v>706</v>
      </c>
    </row>
    <row r="6" spans="1:12" x14ac:dyDescent="0.25">
      <c r="A6" s="1" t="s">
        <v>303</v>
      </c>
      <c r="B6" s="2" t="s">
        <v>304</v>
      </c>
      <c r="C6" s="1" t="s">
        <v>10</v>
      </c>
      <c r="D6" s="1">
        <v>5</v>
      </c>
      <c r="E6">
        <f>VLOOKUP(A6,BBI_ED!$A$1:$C$205,2,FALSE)</f>
        <v>5</v>
      </c>
      <c r="K6" s="1" t="s">
        <v>303</v>
      </c>
      <c r="L6" t="s">
        <v>707</v>
      </c>
    </row>
    <row r="7" spans="1:12" x14ac:dyDescent="0.25">
      <c r="A7" s="1" t="s">
        <v>305</v>
      </c>
      <c r="B7" s="2" t="s">
        <v>306</v>
      </c>
      <c r="C7" s="1" t="s">
        <v>10</v>
      </c>
      <c r="D7" s="1">
        <v>5</v>
      </c>
      <c r="E7">
        <f>VLOOKUP(A7,BBI_ED!$A$1:$C$205,2,FALSE)</f>
        <v>5</v>
      </c>
      <c r="K7" s="1" t="s">
        <v>305</v>
      </c>
      <c r="L7" t="s">
        <v>708</v>
      </c>
    </row>
    <row r="8" spans="1:12" x14ac:dyDescent="0.25">
      <c r="A8" s="1" t="s">
        <v>307</v>
      </c>
      <c r="B8" s="2" t="s">
        <v>308</v>
      </c>
      <c r="C8" s="1" t="s">
        <v>10</v>
      </c>
      <c r="D8" s="1">
        <v>2</v>
      </c>
      <c r="E8">
        <f>VLOOKUP(A8,BBI_ED!$A$1:$C$205,2,FALSE)</f>
        <v>2</v>
      </c>
      <c r="K8" s="1" t="s">
        <v>307</v>
      </c>
      <c r="L8" t="s">
        <v>709</v>
      </c>
    </row>
    <row r="9" spans="1:12" x14ac:dyDescent="0.25">
      <c r="A9" s="1" t="s">
        <v>309</v>
      </c>
      <c r="B9" s="2" t="s">
        <v>310</v>
      </c>
      <c r="C9" s="1" t="s">
        <v>10</v>
      </c>
      <c r="D9" s="1">
        <v>27</v>
      </c>
      <c r="E9">
        <f>VLOOKUP(A9,BBI_ED!$A$1:$C$205,2,FALSE)</f>
        <v>17</v>
      </c>
      <c r="K9" s="1" t="s">
        <v>309</v>
      </c>
      <c r="L9" t="s">
        <v>710</v>
      </c>
    </row>
    <row r="10" spans="1:12" x14ac:dyDescent="0.25">
      <c r="A10" s="1" t="s">
        <v>311</v>
      </c>
      <c r="B10" s="2" t="s">
        <v>312</v>
      </c>
      <c r="C10" s="1" t="s">
        <v>7</v>
      </c>
      <c r="D10" s="1">
        <v>1500</v>
      </c>
      <c r="E10">
        <f>VLOOKUP(A10,BBI_ED!$A$1:$C$205,2,FALSE)</f>
        <v>1500</v>
      </c>
      <c r="K10" s="1" t="s">
        <v>311</v>
      </c>
      <c r="L10" t="s">
        <v>711</v>
      </c>
    </row>
    <row r="11" spans="1:12" x14ac:dyDescent="0.25">
      <c r="A11" s="1" t="s">
        <v>313</v>
      </c>
      <c r="B11" s="2" t="s">
        <v>314</v>
      </c>
      <c r="C11" s="1" t="s">
        <v>35</v>
      </c>
      <c r="D11" s="1">
        <v>2.5000000000000001E-3</v>
      </c>
      <c r="E11">
        <f>VLOOKUP(A11,BBI_ED!$A$1:$C$205,2,FALSE)</f>
        <v>2.5000000000000001E-3</v>
      </c>
      <c r="K11" s="1" t="s">
        <v>313</v>
      </c>
      <c r="L11" t="s">
        <v>716</v>
      </c>
    </row>
    <row r="12" spans="1:12" x14ac:dyDescent="0.25">
      <c r="A12" s="1" t="s">
        <v>315</v>
      </c>
      <c r="B12" s="2" t="s">
        <v>316</v>
      </c>
      <c r="C12" s="1" t="s">
        <v>35</v>
      </c>
      <c r="D12" s="1">
        <v>4.1999999999999997E-3</v>
      </c>
      <c r="E12">
        <f>VLOOKUP(A12,BBI_ED!$A$1:$C$205,2,FALSE)</f>
        <v>4.1999999999999997E-3</v>
      </c>
      <c r="K12" s="1" t="s">
        <v>315</v>
      </c>
      <c r="L12" t="s">
        <v>717</v>
      </c>
    </row>
    <row r="13" spans="1:12" x14ac:dyDescent="0.25">
      <c r="A13" s="1" t="s">
        <v>317</v>
      </c>
      <c r="B13" s="2" t="s">
        <v>318</v>
      </c>
      <c r="C13" s="1" t="s">
        <v>35</v>
      </c>
      <c r="D13" s="1">
        <v>4.1999999999999997E-3</v>
      </c>
      <c r="E13">
        <f>VLOOKUP(A13,BBI_ED!$A$1:$C$205,2,FALSE)</f>
        <v>4.1999999999999997E-3</v>
      </c>
      <c r="K13" s="1" t="s">
        <v>317</v>
      </c>
      <c r="L13" t="s">
        <v>718</v>
      </c>
    </row>
    <row r="14" spans="1:12" x14ac:dyDescent="0.25">
      <c r="A14" s="1" t="s">
        <v>319</v>
      </c>
      <c r="B14" s="2" t="s">
        <v>320</v>
      </c>
      <c r="C14" s="1" t="s">
        <v>35</v>
      </c>
      <c r="D14" s="1">
        <v>4.1999999999999997E-3</v>
      </c>
      <c r="E14">
        <f>VLOOKUP(A14,BBI_ED!$A$1:$C$205,2,FALSE)</f>
        <v>4.1999999999999997E-3</v>
      </c>
      <c r="K14" s="1" t="s">
        <v>319</v>
      </c>
      <c r="L14" t="s">
        <v>719</v>
      </c>
    </row>
    <row r="15" spans="1:12" x14ac:dyDescent="0.25">
      <c r="A15" s="1" t="s">
        <v>321</v>
      </c>
      <c r="B15" s="2" t="s">
        <v>322</v>
      </c>
      <c r="C15" s="1" t="s">
        <v>21</v>
      </c>
      <c r="D15" s="1">
        <v>5</v>
      </c>
      <c r="E15">
        <f>VLOOKUP(A15,BBI_ED!$A$1:$C$205,2,FALSE)</f>
        <v>5</v>
      </c>
      <c r="K15" s="1" t="s">
        <v>321</v>
      </c>
      <c r="L15" t="s">
        <v>712</v>
      </c>
    </row>
    <row r="16" spans="1:12" x14ac:dyDescent="0.25">
      <c r="A16" s="1" t="s">
        <v>323</v>
      </c>
      <c r="B16" s="2" t="s">
        <v>324</v>
      </c>
      <c r="C16" s="1" t="s">
        <v>21</v>
      </c>
      <c r="D16" s="1">
        <v>0.1</v>
      </c>
      <c r="E16">
        <f>VLOOKUP(A16,BBI_ED!$A$1:$C$205,2,FALSE)</f>
        <v>0.1</v>
      </c>
      <c r="K16" s="1" t="s">
        <v>323</v>
      </c>
      <c r="L16" t="s">
        <v>713</v>
      </c>
    </row>
    <row r="17" spans="1:12" x14ac:dyDescent="0.25">
      <c r="A17" s="1" t="s">
        <v>325</v>
      </c>
      <c r="B17" s="2" t="s">
        <v>327</v>
      </c>
      <c r="C17" s="1" t="s">
        <v>326</v>
      </c>
      <c r="D17" s="1">
        <v>0.5</v>
      </c>
      <c r="E17">
        <f>VLOOKUP(A17,BBI_ED!$A$1:$C$205,2,FALSE)</f>
        <v>1</v>
      </c>
      <c r="K17" s="1" t="s">
        <v>325</v>
      </c>
      <c r="L17" t="s">
        <v>714</v>
      </c>
    </row>
    <row r="18" spans="1:12" x14ac:dyDescent="0.25">
      <c r="A18" s="1" t="s">
        <v>328</v>
      </c>
      <c r="B18" s="2" t="s">
        <v>329</v>
      </c>
      <c r="C18" s="1" t="s">
        <v>326</v>
      </c>
      <c r="D18" s="1">
        <v>0.5</v>
      </c>
      <c r="E18">
        <f>VLOOKUP(A18,BBI_ED!$A$1:$C$205,2,FALSE)</f>
        <v>1</v>
      </c>
      <c r="K18" s="1" t="s">
        <v>328</v>
      </c>
      <c r="L18" t="s">
        <v>715</v>
      </c>
    </row>
    <row r="19" spans="1:12" x14ac:dyDescent="0.25">
      <c r="A19" s="10" t="s">
        <v>424</v>
      </c>
      <c r="B19" s="5"/>
      <c r="C19" s="5"/>
      <c r="D19" s="5"/>
    </row>
    <row r="20" spans="1:12" x14ac:dyDescent="0.25">
      <c r="A20" s="1" t="s">
        <v>330</v>
      </c>
      <c r="B20" s="2" t="s">
        <v>332</v>
      </c>
      <c r="C20" s="1" t="s">
        <v>331</v>
      </c>
      <c r="D20" s="1">
        <v>5000</v>
      </c>
      <c r="E20">
        <f>VLOOKUP(A20,BBI_ED!$A$1:$C$205,2,FALSE)</f>
        <v>5000</v>
      </c>
      <c r="K20" s="1" t="s">
        <v>330</v>
      </c>
      <c r="L20" t="s">
        <v>720</v>
      </c>
    </row>
    <row r="21" spans="1:12" x14ac:dyDescent="0.25">
      <c r="A21" s="1" t="s">
        <v>333</v>
      </c>
      <c r="B21" s="2" t="s">
        <v>334</v>
      </c>
      <c r="C21" s="1" t="s">
        <v>331</v>
      </c>
      <c r="D21" s="1">
        <v>1000</v>
      </c>
      <c r="E21">
        <f>VLOOKUP(A21,BBI_ED!$A$1:$C$205,2,FALSE)</f>
        <v>1000</v>
      </c>
      <c r="K21" s="1" t="s">
        <v>333</v>
      </c>
      <c r="L21" t="s">
        <v>734</v>
      </c>
    </row>
    <row r="22" spans="1:12" x14ac:dyDescent="0.25">
      <c r="A22" s="1" t="s">
        <v>335</v>
      </c>
      <c r="B22" s="2" t="s">
        <v>337</v>
      </c>
      <c r="C22" s="1" t="s">
        <v>336</v>
      </c>
      <c r="D22" s="1">
        <v>1E-3</v>
      </c>
      <c r="E22">
        <f>VLOOKUP(A22,BBI_ED!$A$1:$C$205,2,FALSE)</f>
        <v>1E-3</v>
      </c>
      <c r="K22" s="1" t="s">
        <v>335</v>
      </c>
      <c r="L22" t="s">
        <v>735</v>
      </c>
    </row>
    <row r="23" spans="1:12" x14ac:dyDescent="0.25">
      <c r="A23" s="1" t="s">
        <v>338</v>
      </c>
      <c r="B23" s="2" t="s">
        <v>340</v>
      </c>
      <c r="C23" s="1" t="s">
        <v>339</v>
      </c>
      <c r="D23" s="1">
        <v>380</v>
      </c>
      <c r="E23">
        <f>VLOOKUP(A23,BBI_ED!$A$1:$C$205,2,FALSE)</f>
        <v>380</v>
      </c>
      <c r="K23" s="1" t="s">
        <v>338</v>
      </c>
      <c r="L23" t="s">
        <v>736</v>
      </c>
    </row>
    <row r="24" spans="1:12" x14ac:dyDescent="0.25">
      <c r="A24" s="1" t="s">
        <v>341</v>
      </c>
      <c r="B24" s="2" t="s">
        <v>342</v>
      </c>
      <c r="C24" s="1" t="s">
        <v>287</v>
      </c>
      <c r="D24" s="1">
        <v>1500</v>
      </c>
      <c r="E24">
        <f>VLOOKUP(A24,BBI_ED!$A$1:$C$205,2,FALSE)</f>
        <v>150</v>
      </c>
      <c r="K24" s="1" t="s">
        <v>341</v>
      </c>
      <c r="L24" t="s">
        <v>739</v>
      </c>
    </row>
    <row r="25" spans="1:12" x14ac:dyDescent="0.25">
      <c r="A25" s="1" t="s">
        <v>343</v>
      </c>
      <c r="B25" s="2" t="s">
        <v>344</v>
      </c>
      <c r="C25" s="1" t="s">
        <v>29</v>
      </c>
      <c r="D25" s="1">
        <v>15</v>
      </c>
      <c r="E25">
        <f>VLOOKUP(A25,BBI_ED!$A$1:$C$205,2,FALSE)</f>
        <v>15</v>
      </c>
      <c r="K25" s="1" t="s">
        <v>343</v>
      </c>
      <c r="L25" t="s">
        <v>737</v>
      </c>
    </row>
    <row r="26" spans="1:12" x14ac:dyDescent="0.25">
      <c r="A26" s="1" t="s">
        <v>345</v>
      </c>
      <c r="B26" s="2" t="s">
        <v>346</v>
      </c>
      <c r="C26" s="1" t="s">
        <v>1</v>
      </c>
      <c r="D26" s="1">
        <v>1</v>
      </c>
      <c r="E26">
        <f>VLOOKUP(A26,BBI_ED!$A$1:$C$205,2,FALSE)</f>
        <v>1</v>
      </c>
      <c r="K26" s="1" t="s">
        <v>345</v>
      </c>
      <c r="L26" t="s">
        <v>740</v>
      </c>
    </row>
    <row r="27" spans="1:12" x14ac:dyDescent="0.25">
      <c r="A27" s="1" t="s">
        <v>347</v>
      </c>
      <c r="B27" s="2" t="s">
        <v>349</v>
      </c>
      <c r="C27" s="1" t="s">
        <v>348</v>
      </c>
      <c r="D27" s="1">
        <v>3700</v>
      </c>
      <c r="E27">
        <f>VLOOKUP(A27,BBI_ED!$A$1:$C$205,2,FALSE)</f>
        <v>3700</v>
      </c>
      <c r="K27" s="1" t="s">
        <v>347</v>
      </c>
      <c r="L27" t="s">
        <v>721</v>
      </c>
    </row>
    <row r="28" spans="1:12" x14ac:dyDescent="0.25">
      <c r="A28" s="1" t="s">
        <v>350</v>
      </c>
      <c r="B28" s="2" t="s">
        <v>351</v>
      </c>
      <c r="C28" s="1" t="s">
        <v>336</v>
      </c>
      <c r="D28" s="1">
        <v>3.0000000000000001E-3</v>
      </c>
      <c r="E28">
        <f>VLOOKUP(A28,BBI_ED!$A$1:$C$205,2,FALSE)</f>
        <v>3.0000000000000001E-3</v>
      </c>
      <c r="K28" s="1" t="s">
        <v>350</v>
      </c>
      <c r="L28" t="s">
        <v>749</v>
      </c>
    </row>
    <row r="29" spans="1:12" x14ac:dyDescent="0.25">
      <c r="A29" s="1" t="s">
        <v>352</v>
      </c>
      <c r="B29" s="2" t="s">
        <v>354</v>
      </c>
      <c r="C29" s="1" t="s">
        <v>353</v>
      </c>
      <c r="D29" s="1">
        <v>46</v>
      </c>
      <c r="E29">
        <f>VLOOKUP(A29,BBI_ED!$A$1:$C$205,2,FALSE)</f>
        <v>46</v>
      </c>
      <c r="K29" s="1" t="s">
        <v>352</v>
      </c>
      <c r="L29" t="s">
        <v>722</v>
      </c>
    </row>
    <row r="30" spans="1:12" x14ac:dyDescent="0.25">
      <c r="A30" s="1" t="s">
        <v>355</v>
      </c>
      <c r="B30" s="2" t="s">
        <v>357</v>
      </c>
      <c r="C30" s="1" t="s">
        <v>356</v>
      </c>
      <c r="D30" s="1">
        <v>0.5</v>
      </c>
      <c r="E30">
        <f>VLOOKUP(A30,BBI_ED!$A$1:$C$205,2,FALSE)</f>
        <v>0.5</v>
      </c>
      <c r="K30" s="1" t="s">
        <v>355</v>
      </c>
      <c r="L30" t="s">
        <v>741</v>
      </c>
    </row>
    <row r="31" spans="1:12" x14ac:dyDescent="0.25">
      <c r="A31" s="1" t="s">
        <v>358</v>
      </c>
      <c r="B31" s="2" t="s">
        <v>360</v>
      </c>
      <c r="C31" s="1" t="s">
        <v>359</v>
      </c>
      <c r="D31" s="1">
        <v>2.9999999999999997E-4</v>
      </c>
      <c r="E31">
        <f>VLOOKUP(A31,BBI_ED!$A$1:$C$205,2,FALSE)</f>
        <v>2.9999999999999997E-4</v>
      </c>
      <c r="K31" s="1" t="s">
        <v>358</v>
      </c>
      <c r="L31" t="s">
        <v>742</v>
      </c>
    </row>
    <row r="32" spans="1:12" x14ac:dyDescent="0.25">
      <c r="A32" s="1" t="s">
        <v>361</v>
      </c>
      <c r="B32" s="2" t="s">
        <v>363</v>
      </c>
      <c r="C32" s="1" t="s">
        <v>362</v>
      </c>
      <c r="D32" s="1">
        <v>1.6831</v>
      </c>
      <c r="E32">
        <f>VLOOKUP(A32,BBI_ED!$A$1:$C$205,2,FALSE)</f>
        <v>1.6831</v>
      </c>
      <c r="K32" s="1" t="s">
        <v>361</v>
      </c>
      <c r="L32" t="s">
        <v>723</v>
      </c>
    </row>
    <row r="33" spans="1:12" x14ac:dyDescent="0.25">
      <c r="A33" s="1" t="s">
        <v>364</v>
      </c>
      <c r="B33" s="2" t="s">
        <v>365</v>
      </c>
      <c r="C33" s="1" t="s">
        <v>362</v>
      </c>
      <c r="D33" s="1">
        <v>998.2</v>
      </c>
      <c r="E33">
        <f>VLOOKUP(A33,BBI_ED!$A$1:$C$205,2,FALSE)</f>
        <v>998.2</v>
      </c>
      <c r="K33" s="1" t="s">
        <v>364</v>
      </c>
      <c r="L33" t="s">
        <v>724</v>
      </c>
    </row>
    <row r="34" spans="1:12" x14ac:dyDescent="0.25">
      <c r="A34" s="1" t="s">
        <v>366</v>
      </c>
      <c r="B34" s="2" t="s">
        <v>367</v>
      </c>
      <c r="C34" s="1" t="s">
        <v>1</v>
      </c>
      <c r="D34" s="1">
        <v>1</v>
      </c>
      <c r="E34">
        <f>VLOOKUP(A34,BBI_ED!$A$1:$C$205,2,FALSE)</f>
        <v>1</v>
      </c>
      <c r="K34" s="1" t="s">
        <v>366</v>
      </c>
      <c r="L34" t="s">
        <v>743</v>
      </c>
    </row>
    <row r="35" spans="1:12" x14ac:dyDescent="0.25">
      <c r="A35" s="1" t="s">
        <v>368</v>
      </c>
      <c r="B35" s="2" t="s">
        <v>369</v>
      </c>
      <c r="C35" s="1" t="s">
        <v>348</v>
      </c>
      <c r="D35" s="1">
        <v>3700</v>
      </c>
      <c r="E35">
        <f>VLOOKUP(A35,BBI_ED!$A$1:$C$205,2,FALSE)</f>
        <v>3700</v>
      </c>
      <c r="K35" s="1" t="s">
        <v>368</v>
      </c>
      <c r="L35" t="s">
        <v>725</v>
      </c>
    </row>
    <row r="36" spans="1:12" x14ac:dyDescent="0.25">
      <c r="A36" s="1" t="s">
        <v>370</v>
      </c>
      <c r="B36" s="2" t="s">
        <v>372</v>
      </c>
      <c r="C36" s="1" t="s">
        <v>371</v>
      </c>
      <c r="D36" s="1">
        <v>10000</v>
      </c>
      <c r="E36">
        <f>VLOOKUP(A36,BBI_ED!$A$1:$C$205,2,FALSE)</f>
        <v>2000</v>
      </c>
      <c r="K36" s="1" t="s">
        <v>370</v>
      </c>
      <c r="L36" t="s">
        <v>744</v>
      </c>
    </row>
    <row r="37" spans="1:12" x14ac:dyDescent="0.25">
      <c r="A37" s="1" t="s">
        <v>373</v>
      </c>
      <c r="B37" s="2" t="s">
        <v>374</v>
      </c>
      <c r="C37" s="1" t="s">
        <v>287</v>
      </c>
      <c r="D37" s="1">
        <v>1500</v>
      </c>
      <c r="E37">
        <f>VLOOKUP(A37,BBI_ED!$A$1:$C$205,2,FALSE)</f>
        <v>6</v>
      </c>
      <c r="K37" s="1" t="s">
        <v>373</v>
      </c>
      <c r="L37" t="s">
        <v>745</v>
      </c>
    </row>
    <row r="38" spans="1:12" x14ac:dyDescent="0.25">
      <c r="A38" s="1" t="s">
        <v>375</v>
      </c>
      <c r="B38" s="2" t="s">
        <v>376</v>
      </c>
      <c r="C38" s="1" t="s">
        <v>29</v>
      </c>
      <c r="D38" s="1">
        <v>134</v>
      </c>
      <c r="E38">
        <f>VLOOKUP(A38,BBI_ED!$A$1:$C$205,2,FALSE)</f>
        <v>134</v>
      </c>
      <c r="K38" s="1" t="s">
        <v>375</v>
      </c>
      <c r="L38" t="s">
        <v>738</v>
      </c>
    </row>
    <row r="39" spans="1:12" x14ac:dyDescent="0.25">
      <c r="A39" s="1" t="s">
        <v>377</v>
      </c>
      <c r="B39" s="2" t="s">
        <v>378</v>
      </c>
      <c r="C39" s="1" t="s">
        <v>356</v>
      </c>
      <c r="D39" s="1">
        <v>0.13</v>
      </c>
      <c r="E39">
        <f>VLOOKUP(A39,BBI_ED!$A$1:$C$205,2,FALSE)</f>
        <v>0.13</v>
      </c>
      <c r="K39" s="1" t="s">
        <v>377</v>
      </c>
      <c r="L39" t="s">
        <v>746</v>
      </c>
    </row>
    <row r="40" spans="1:12" x14ac:dyDescent="0.25">
      <c r="A40" s="1" t="s">
        <v>379</v>
      </c>
      <c r="B40" s="2" t="s">
        <v>380</v>
      </c>
      <c r="C40" s="1" t="s">
        <v>1</v>
      </c>
      <c r="D40" s="1">
        <v>23.5</v>
      </c>
      <c r="E40">
        <f>VLOOKUP(A40,BBI_ED!$A$1:$C$205,2,FALSE)</f>
        <v>23.5</v>
      </c>
      <c r="K40" s="1" t="s">
        <v>379</v>
      </c>
      <c r="L40" t="s">
        <v>747</v>
      </c>
    </row>
    <row r="41" spans="1:12" x14ac:dyDescent="0.25">
      <c r="A41" s="1" t="s">
        <v>381</v>
      </c>
      <c r="B41" s="2" t="s">
        <v>382</v>
      </c>
      <c r="C41" s="1" t="s">
        <v>348</v>
      </c>
      <c r="D41" s="1">
        <v>2000</v>
      </c>
      <c r="E41">
        <f>VLOOKUP(A41,BBI_ED!$A$1:$C$205,2,FALSE)</f>
        <v>2000</v>
      </c>
      <c r="K41" s="1" t="s">
        <v>381</v>
      </c>
      <c r="L41" t="s">
        <v>726</v>
      </c>
    </row>
    <row r="42" spans="1:12" x14ac:dyDescent="0.25">
      <c r="A42" s="1" t="s">
        <v>383</v>
      </c>
      <c r="B42" s="2" t="s">
        <v>384</v>
      </c>
      <c r="C42" s="1" t="s">
        <v>336</v>
      </c>
      <c r="D42" s="1">
        <v>4.0000000000000001E-3</v>
      </c>
      <c r="E42">
        <f>VLOOKUP(A42,BBI_ED!$A$1:$C$205,2,FALSE)</f>
        <v>4.0000000000000001E-3</v>
      </c>
      <c r="K42" s="1" t="s">
        <v>383</v>
      </c>
      <c r="L42" t="s">
        <v>748</v>
      </c>
    </row>
    <row r="43" spans="1:12" x14ac:dyDescent="0.25">
      <c r="A43" s="1" t="s">
        <v>385</v>
      </c>
      <c r="B43" s="2" t="s">
        <v>386</v>
      </c>
      <c r="C43" s="1" t="s">
        <v>353</v>
      </c>
      <c r="D43" s="1">
        <v>46</v>
      </c>
      <c r="E43">
        <f>VLOOKUP(A43,BBI_ED!$A$1:$C$205,2,FALSE)</f>
        <v>46</v>
      </c>
      <c r="K43" s="1" t="s">
        <v>385</v>
      </c>
      <c r="L43" t="s">
        <v>727</v>
      </c>
    </row>
    <row r="44" spans="1:12" x14ac:dyDescent="0.25">
      <c r="A44" s="1" t="s">
        <v>387</v>
      </c>
      <c r="B44" s="2" t="s">
        <v>388</v>
      </c>
      <c r="C44" s="1" t="s">
        <v>356</v>
      </c>
      <c r="D44" s="1">
        <v>1.4</v>
      </c>
      <c r="E44">
        <f>VLOOKUP(A44,BBI_ED!$A$1:$C$205,2,FALSE)</f>
        <v>1.4</v>
      </c>
      <c r="K44" s="1" t="s">
        <v>387</v>
      </c>
      <c r="L44" t="s">
        <v>750</v>
      </c>
    </row>
    <row r="45" spans="1:12" x14ac:dyDescent="0.25">
      <c r="A45" s="1" t="s">
        <v>389</v>
      </c>
      <c r="B45" s="2" t="s">
        <v>390</v>
      </c>
      <c r="C45" s="1" t="s">
        <v>336</v>
      </c>
      <c r="D45" s="1">
        <v>4.0000000000000001E-3</v>
      </c>
      <c r="E45">
        <f>VLOOKUP(A45,BBI_ED!$A$1:$C$205,2,FALSE)</f>
        <v>4.0000000000000001E-3</v>
      </c>
      <c r="K45" s="1" t="s">
        <v>389</v>
      </c>
      <c r="L45" t="s">
        <v>751</v>
      </c>
    </row>
    <row r="46" spans="1:12" x14ac:dyDescent="0.25">
      <c r="A46" s="1" t="s">
        <v>391</v>
      </c>
      <c r="B46" s="2" t="s">
        <v>392</v>
      </c>
      <c r="C46" s="1" t="s">
        <v>353</v>
      </c>
      <c r="D46" s="1">
        <v>46</v>
      </c>
      <c r="E46">
        <f>VLOOKUP(A46,BBI_ED!$A$1:$C$205,2,FALSE)</f>
        <v>46</v>
      </c>
      <c r="K46" s="1" t="s">
        <v>391</v>
      </c>
      <c r="L46" t="s">
        <v>728</v>
      </c>
    </row>
    <row r="47" spans="1:12" x14ac:dyDescent="0.25">
      <c r="A47" s="1" t="s">
        <v>393</v>
      </c>
      <c r="B47" s="2" t="s">
        <v>394</v>
      </c>
      <c r="C47" s="1" t="s">
        <v>356</v>
      </c>
      <c r="D47" s="1">
        <v>1.1299999999999999</v>
      </c>
      <c r="E47">
        <f>VLOOKUP(A47,BBI_ED!$A$1:$C$205,2,FALSE)</f>
        <v>1.1299999999999999</v>
      </c>
      <c r="K47" s="1" t="s">
        <v>393</v>
      </c>
      <c r="L47" t="s">
        <v>752</v>
      </c>
    </row>
    <row r="48" spans="1:12" x14ac:dyDescent="0.25">
      <c r="A48" s="1" t="s">
        <v>395</v>
      </c>
      <c r="B48" s="2" t="s">
        <v>397</v>
      </c>
      <c r="C48" s="1" t="s">
        <v>396</v>
      </c>
      <c r="D48" s="1">
        <v>1</v>
      </c>
      <c r="E48">
        <f>VLOOKUP(A48,BBI_ED!$A$1:$C$205,2,FALSE)</f>
        <v>1</v>
      </c>
      <c r="K48" s="1" t="s">
        <v>395</v>
      </c>
      <c r="L48" t="s">
        <v>729</v>
      </c>
    </row>
    <row r="49" spans="1:12" x14ac:dyDescent="0.25">
      <c r="A49" s="1" t="s">
        <v>398</v>
      </c>
      <c r="B49" s="2" t="s">
        <v>399</v>
      </c>
      <c r="C49" s="1" t="s">
        <v>348</v>
      </c>
      <c r="D49" s="1">
        <v>4000</v>
      </c>
      <c r="E49">
        <f>VLOOKUP(A49,BBI_ED!$A$1:$C$205,2,FALSE)</f>
        <v>4000</v>
      </c>
      <c r="K49" s="1" t="s">
        <v>398</v>
      </c>
      <c r="L49" t="s">
        <v>730</v>
      </c>
    </row>
    <row r="50" spans="1:12" x14ac:dyDescent="0.25">
      <c r="A50" s="1" t="s">
        <v>400</v>
      </c>
      <c r="B50" s="2" t="s">
        <v>401</v>
      </c>
      <c r="C50" s="1" t="s">
        <v>336</v>
      </c>
      <c r="D50" s="1">
        <v>4.0000000000000001E-3</v>
      </c>
      <c r="E50">
        <f>VLOOKUP(A50,BBI_ED!$A$1:$C$205,2,FALSE)</f>
        <v>4.0000000000000001E-3</v>
      </c>
      <c r="K50" s="1" t="s">
        <v>400</v>
      </c>
      <c r="L50" t="s">
        <v>753</v>
      </c>
    </row>
    <row r="51" spans="1:12" x14ac:dyDescent="0.25">
      <c r="A51" s="1" t="s">
        <v>402</v>
      </c>
      <c r="B51" s="2" t="s">
        <v>403</v>
      </c>
      <c r="C51" s="1" t="s">
        <v>348</v>
      </c>
      <c r="D51" s="1">
        <v>46</v>
      </c>
      <c r="E51">
        <f>VLOOKUP(A51,BBI_ED!$A$1:$C$205,2,FALSE)</f>
        <v>46</v>
      </c>
      <c r="K51" s="1" t="s">
        <v>402</v>
      </c>
      <c r="L51" t="s">
        <v>731</v>
      </c>
    </row>
    <row r="52" spans="1:12" x14ac:dyDescent="0.25">
      <c r="A52" s="1" t="s">
        <v>404</v>
      </c>
      <c r="B52" s="2" t="s">
        <v>405</v>
      </c>
      <c r="C52" s="1" t="s">
        <v>356</v>
      </c>
      <c r="D52" s="1">
        <v>7.6999999999999999E-2</v>
      </c>
      <c r="E52">
        <f>VLOOKUP(A52,BBI_ED!$A$1:$C$205,2,FALSE)</f>
        <v>7.6999999999999999E-2</v>
      </c>
      <c r="K52" s="1" t="s">
        <v>404</v>
      </c>
      <c r="L52" t="s">
        <v>754</v>
      </c>
    </row>
    <row r="53" spans="1:12" x14ac:dyDescent="0.25">
      <c r="A53" s="1" t="s">
        <v>406</v>
      </c>
      <c r="B53" s="2" t="s">
        <v>408</v>
      </c>
      <c r="C53" s="1" t="s">
        <v>407</v>
      </c>
      <c r="D53" s="3">
        <v>2.7199999999999999E-8</v>
      </c>
      <c r="E53">
        <f>VLOOKUP(A53,BBI_ED!$A$1:$C$205,2,FALSE)</f>
        <v>2.7199999999999999E-8</v>
      </c>
      <c r="K53" s="1" t="s">
        <v>406</v>
      </c>
      <c r="L53" t="s">
        <v>755</v>
      </c>
    </row>
    <row r="54" spans="1:12" x14ac:dyDescent="0.25">
      <c r="A54" s="1" t="s">
        <v>409</v>
      </c>
      <c r="B54" s="2" t="s">
        <v>411</v>
      </c>
      <c r="C54" s="1" t="s">
        <v>410</v>
      </c>
      <c r="D54" s="1">
        <v>4.0359999999999996</v>
      </c>
      <c r="E54">
        <f>VLOOKUP(A54,BBI_ED!$A$1:$C$205,2,FALSE)</f>
        <v>4.0359999999999996</v>
      </c>
      <c r="K54" s="1" t="s">
        <v>409</v>
      </c>
      <c r="L54" t="s">
        <v>756</v>
      </c>
    </row>
    <row r="55" spans="1:12" x14ac:dyDescent="0.25">
      <c r="A55" s="1" t="s">
        <v>412</v>
      </c>
      <c r="B55" s="2" t="s">
        <v>413</v>
      </c>
      <c r="C55" s="1" t="s">
        <v>1</v>
      </c>
      <c r="D55" s="1">
        <v>56</v>
      </c>
      <c r="E55">
        <f>VLOOKUP(A55,BBI_ED!$A$1:$C$205,2,FALSE)</f>
        <v>56</v>
      </c>
      <c r="K55" s="1" t="s">
        <v>412</v>
      </c>
      <c r="L55" t="s">
        <v>757</v>
      </c>
    </row>
    <row r="56" spans="1:12" x14ac:dyDescent="0.25">
      <c r="A56" s="1" t="s">
        <v>414</v>
      </c>
      <c r="B56" s="2" t="s">
        <v>415</v>
      </c>
      <c r="C56" s="1" t="s">
        <v>1</v>
      </c>
      <c r="D56" s="1">
        <v>24</v>
      </c>
      <c r="E56">
        <f>VLOOKUP(A56,BBI_ED!$A$1:$C$205,2,FALSE)</f>
        <v>24</v>
      </c>
      <c r="K56" s="1" t="s">
        <v>414</v>
      </c>
      <c r="L56" t="s">
        <v>758</v>
      </c>
    </row>
    <row r="57" spans="1:12" x14ac:dyDescent="0.25">
      <c r="A57" s="1" t="s">
        <v>416</v>
      </c>
      <c r="B57" s="2" t="s">
        <v>418</v>
      </c>
      <c r="C57" s="1" t="s">
        <v>417</v>
      </c>
      <c r="D57" s="1">
        <v>0.13900000000000001</v>
      </c>
      <c r="E57">
        <f>VLOOKUP(A57,BBI_ED!$A$1:$C$205,2,FALSE)</f>
        <v>0.13900000000000001</v>
      </c>
      <c r="K57" s="1" t="s">
        <v>416</v>
      </c>
      <c r="L57" t="s">
        <v>759</v>
      </c>
    </row>
    <row r="58" spans="1:12" x14ac:dyDescent="0.25">
      <c r="A58" s="1" t="s">
        <v>419</v>
      </c>
      <c r="B58" s="2" t="s">
        <v>420</v>
      </c>
      <c r="C58" s="1" t="s">
        <v>29</v>
      </c>
      <c r="D58" s="1">
        <v>25</v>
      </c>
      <c r="E58">
        <f>VLOOKUP(A58,BBI_ED!$A$1:$C$205,2,FALSE)</f>
        <v>25</v>
      </c>
      <c r="K58" s="1" t="s">
        <v>419</v>
      </c>
      <c r="L58" t="s">
        <v>732</v>
      </c>
    </row>
    <row r="59" spans="1:12" x14ac:dyDescent="0.25">
      <c r="A59" s="1" t="s">
        <v>421</v>
      </c>
      <c r="B59" s="2" t="s">
        <v>423</v>
      </c>
      <c r="C59" s="1" t="s">
        <v>422</v>
      </c>
      <c r="D59" s="1">
        <v>10</v>
      </c>
      <c r="E59">
        <f>VLOOKUP(A59,BBI_ED!$A$1:$C$205,2,FALSE)</f>
        <v>10</v>
      </c>
      <c r="K59" s="1" t="s">
        <v>421</v>
      </c>
      <c r="L59" t="s">
        <v>733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84EC-CA8E-4948-A186-229350ECCE13}">
  <dimension ref="A1:I45"/>
  <sheetViews>
    <sheetView topLeftCell="A5" zoomScaleNormal="100" workbookViewId="0">
      <selection activeCell="I43" sqref="I43:I45"/>
    </sheetView>
  </sheetViews>
  <sheetFormatPr defaultColWidth="11.42578125" defaultRowHeight="15" x14ac:dyDescent="0.25"/>
  <cols>
    <col min="1" max="1" width="11.42578125" style="6"/>
    <col min="2" max="2" width="49.42578125" style="6" customWidth="1"/>
    <col min="3" max="5" width="11.42578125" style="6"/>
  </cols>
  <sheetData>
    <row r="1" spans="1:9" x14ac:dyDescent="0.25">
      <c r="A1" s="6" t="s">
        <v>426</v>
      </c>
    </row>
    <row r="2" spans="1:9" x14ac:dyDescent="0.25">
      <c r="A2" t="s">
        <v>511</v>
      </c>
    </row>
    <row r="3" spans="1:9" x14ac:dyDescent="0.25">
      <c r="A3" s="1" t="s">
        <v>427</v>
      </c>
      <c r="B3" s="1" t="s">
        <v>428</v>
      </c>
      <c r="C3" s="1" t="s">
        <v>326</v>
      </c>
      <c r="D3" s="1">
        <v>0.46</v>
      </c>
      <c r="E3" s="6">
        <f>VLOOKUP(A3,BBI_ED!$A$1:$C$205,2,FALSE)</f>
        <v>0.46</v>
      </c>
      <c r="H3" t="s">
        <v>427</v>
      </c>
      <c r="I3" s="1" t="s">
        <v>760</v>
      </c>
    </row>
    <row r="4" spans="1:9" x14ac:dyDescent="0.25">
      <c r="A4" s="1" t="s">
        <v>429</v>
      </c>
      <c r="B4" s="1" t="s">
        <v>430</v>
      </c>
      <c r="C4" s="1" t="s">
        <v>326</v>
      </c>
      <c r="D4" s="1">
        <v>0.35</v>
      </c>
      <c r="E4" s="6">
        <f>VLOOKUP(A4,BBI_ED!$A$1:$C$205,2,FALSE)</f>
        <v>0.35</v>
      </c>
      <c r="H4" t="s">
        <v>429</v>
      </c>
      <c r="I4" s="1" t="s">
        <v>761</v>
      </c>
    </row>
    <row r="5" spans="1:9" x14ac:dyDescent="0.25">
      <c r="A5" s="1" t="s">
        <v>431</v>
      </c>
      <c r="B5" s="1" t="s">
        <v>432</v>
      </c>
      <c r="C5" s="1" t="s">
        <v>326</v>
      </c>
      <c r="D5" s="1">
        <v>0.1</v>
      </c>
      <c r="E5" s="6">
        <f>VLOOKUP(A5,BBI_ED!$A$1:$C$205,2,FALSE)</f>
        <v>0.1</v>
      </c>
      <c r="H5" t="s">
        <v>431</v>
      </c>
      <c r="I5" s="1" t="s">
        <v>762</v>
      </c>
    </row>
    <row r="6" spans="1:9" x14ac:dyDescent="0.25">
      <c r="A6" s="1" t="s">
        <v>433</v>
      </c>
      <c r="B6" s="1" t="s">
        <v>434</v>
      </c>
      <c r="C6" s="1" t="s">
        <v>326</v>
      </c>
      <c r="D6" s="1">
        <v>5.0000000000000001E-3</v>
      </c>
      <c r="E6" s="6">
        <f>VLOOKUP(A6,BBI_ED!$A$1:$C$205,2,FALSE)</f>
        <v>1.9300000000000001E-2</v>
      </c>
      <c r="H6" t="s">
        <v>433</v>
      </c>
      <c r="I6" s="1" t="s">
        <v>763</v>
      </c>
    </row>
    <row r="7" spans="1:9" x14ac:dyDescent="0.25">
      <c r="A7" s="1" t="s">
        <v>435</v>
      </c>
      <c r="B7" s="1" t="s">
        <v>436</v>
      </c>
      <c r="C7" s="1" t="s">
        <v>326</v>
      </c>
      <c r="D7" s="1">
        <v>0.06</v>
      </c>
      <c r="E7" s="6">
        <f>VLOOKUP(A7,BBI_ED!$A$1:$C$205,2,FALSE)</f>
        <v>6.1100000000000002E-2</v>
      </c>
      <c r="H7" t="s">
        <v>435</v>
      </c>
      <c r="I7" s="1" t="s">
        <v>768</v>
      </c>
    </row>
    <row r="8" spans="1:9" x14ac:dyDescent="0.25">
      <c r="A8" s="1" t="s">
        <v>437</v>
      </c>
      <c r="B8" s="1" t="s">
        <v>438</v>
      </c>
      <c r="C8" s="1" t="s">
        <v>41</v>
      </c>
      <c r="D8" s="1">
        <v>0.04</v>
      </c>
      <c r="E8" s="6">
        <f>VLOOKUP(A8,BBI_ED!$A$1:$C$205,2,FALSE)</f>
        <v>0.04</v>
      </c>
      <c r="H8" t="s">
        <v>437</v>
      </c>
      <c r="I8" s="1" t="s">
        <v>771</v>
      </c>
    </row>
    <row r="9" spans="1:9" x14ac:dyDescent="0.25">
      <c r="A9" s="1" t="s">
        <v>439</v>
      </c>
      <c r="B9" s="1" t="s">
        <v>440</v>
      </c>
      <c r="C9" s="1" t="s">
        <v>41</v>
      </c>
      <c r="D9" s="1">
        <v>0.05</v>
      </c>
      <c r="E9" s="6">
        <f>VLOOKUP(A9,BBI_ED!$A$1:$C$205,2,FALSE)</f>
        <v>0.05</v>
      </c>
      <c r="H9" t="s">
        <v>439</v>
      </c>
      <c r="I9" s="1" t="s">
        <v>772</v>
      </c>
    </row>
    <row r="10" spans="1:9" x14ac:dyDescent="0.25">
      <c r="A10" s="1" t="s">
        <v>441</v>
      </c>
      <c r="B10" s="1" t="s">
        <v>442</v>
      </c>
      <c r="C10" s="1" t="s">
        <v>41</v>
      </c>
      <c r="D10" s="1">
        <v>0.06</v>
      </c>
      <c r="E10" s="6">
        <f>VLOOKUP(A10,BBI_ED!$A$1:$C$205,2,FALSE)</f>
        <v>0.06</v>
      </c>
      <c r="H10" t="s">
        <v>441</v>
      </c>
      <c r="I10" s="1" t="s">
        <v>773</v>
      </c>
    </row>
    <row r="11" spans="1:9" x14ac:dyDescent="0.25">
      <c r="A11" s="1" t="s">
        <v>443</v>
      </c>
      <c r="B11" s="1" t="s">
        <v>444</v>
      </c>
      <c r="C11" s="1" t="s">
        <v>41</v>
      </c>
      <c r="D11" s="1">
        <v>1.8E-3</v>
      </c>
      <c r="E11" s="6">
        <f>VLOOKUP(A11,BBI_ED!$A$1:$C$205,2,FALSE)</f>
        <v>1.8E-3</v>
      </c>
      <c r="H11" t="s">
        <v>443</v>
      </c>
      <c r="I11" s="1" t="s">
        <v>774</v>
      </c>
    </row>
    <row r="12" spans="1:9" x14ac:dyDescent="0.25">
      <c r="A12" s="1" t="s">
        <v>445</v>
      </c>
      <c r="B12" s="1" t="s">
        <v>446</v>
      </c>
      <c r="C12" s="1" t="s">
        <v>41</v>
      </c>
      <c r="D12" s="1">
        <v>1.8E-3</v>
      </c>
      <c r="E12" s="6">
        <f>VLOOKUP(A12,BBI_ED!$A$1:$C$205,2,FALSE)</f>
        <v>1.8E-3</v>
      </c>
      <c r="H12" t="s">
        <v>445</v>
      </c>
      <c r="I12" s="1" t="s">
        <v>775</v>
      </c>
    </row>
    <row r="13" spans="1:9" x14ac:dyDescent="0.25">
      <c r="A13" s="1" t="s">
        <v>447</v>
      </c>
      <c r="B13" s="1" t="s">
        <v>448</v>
      </c>
      <c r="C13" s="1" t="s">
        <v>41</v>
      </c>
      <c r="D13" s="1">
        <v>3.0000000000000001E-3</v>
      </c>
      <c r="E13" s="6">
        <f>VLOOKUP(A13,BBI_ED!$A$1:$C$205,2,FALSE)</f>
        <v>3.0000000000000001E-3</v>
      </c>
      <c r="H13" t="s">
        <v>447</v>
      </c>
      <c r="I13" s="1" t="s">
        <v>776</v>
      </c>
    </row>
    <row r="14" spans="1:9" x14ac:dyDescent="0.25">
      <c r="A14" s="1" t="s">
        <v>449</v>
      </c>
      <c r="B14" s="1" t="s">
        <v>450</v>
      </c>
      <c r="C14" s="1" t="s">
        <v>41</v>
      </c>
      <c r="D14" s="1">
        <v>5.0000000000000001E-4</v>
      </c>
      <c r="E14" s="6">
        <f>VLOOKUP(A14,BBI_ED!$A$1:$C$205,2,FALSE)</f>
        <v>5.0000000000000001E-4</v>
      </c>
      <c r="H14" t="s">
        <v>449</v>
      </c>
      <c r="I14" s="1" t="s">
        <v>777</v>
      </c>
    </row>
    <row r="15" spans="1:9" x14ac:dyDescent="0.25">
      <c r="A15" s="1" t="s">
        <v>451</v>
      </c>
      <c r="B15" s="1" t="s">
        <v>452</v>
      </c>
      <c r="C15" s="1" t="s">
        <v>41</v>
      </c>
      <c r="D15" s="1">
        <v>4.0000000000000002E-4</v>
      </c>
      <c r="E15" s="6">
        <f>VLOOKUP(A15,BBI_ED!$A$1:$C$205,2,FALSE)</f>
        <v>1E-4</v>
      </c>
      <c r="H15" t="s">
        <v>451</v>
      </c>
      <c r="I15" t="s">
        <v>778</v>
      </c>
    </row>
    <row r="16" spans="1:9" x14ac:dyDescent="0.25">
      <c r="A16" s="1" t="s">
        <v>453</v>
      </c>
      <c r="B16" s="1" t="s">
        <v>454</v>
      </c>
      <c r="C16" s="1" t="s">
        <v>26</v>
      </c>
      <c r="D16" s="1">
        <v>0.55300000000000005</v>
      </c>
      <c r="E16" s="6">
        <f>VLOOKUP(A16,BBI_ED!$A$1:$C$205,2,FALSE)</f>
        <v>0.55300000000000005</v>
      </c>
      <c r="H16" t="s">
        <v>453</v>
      </c>
      <c r="I16" s="1" t="s">
        <v>764</v>
      </c>
    </row>
    <row r="17" spans="1:9" x14ac:dyDescent="0.25">
      <c r="A17" s="1" t="s">
        <v>455</v>
      </c>
      <c r="B17" s="1" t="s">
        <v>456</v>
      </c>
      <c r="C17" s="1" t="s">
        <v>26</v>
      </c>
      <c r="D17" s="1">
        <v>0.4</v>
      </c>
      <c r="E17" s="6">
        <f>VLOOKUP(A17,BBI_ED!$A$1:$C$205,2,FALSE)</f>
        <v>0.4</v>
      </c>
      <c r="H17" t="s">
        <v>455</v>
      </c>
      <c r="I17" s="1" t="s">
        <v>765</v>
      </c>
    </row>
    <row r="18" spans="1:9" x14ac:dyDescent="0.25">
      <c r="A18" s="1" t="s">
        <v>457</v>
      </c>
      <c r="B18" s="1" t="s">
        <v>458</v>
      </c>
      <c r="C18" s="1" t="s">
        <v>26</v>
      </c>
      <c r="D18" s="1">
        <v>0.2</v>
      </c>
      <c r="E18" s="6">
        <f>VLOOKUP(A18,BBI_ED!$A$1:$C$205,2,FALSE)</f>
        <v>0.2</v>
      </c>
      <c r="H18" t="s">
        <v>457</v>
      </c>
      <c r="I18" s="1" t="s">
        <v>766</v>
      </c>
    </row>
    <row r="19" spans="1:9" x14ac:dyDescent="0.25">
      <c r="A19" s="1" t="s">
        <v>459</v>
      </c>
      <c r="B19" s="1" t="s">
        <v>460</v>
      </c>
      <c r="C19" s="1" t="s">
        <v>26</v>
      </c>
      <c r="D19" s="1">
        <v>1.367</v>
      </c>
      <c r="E19" s="6">
        <f>VLOOKUP(A19,BBI_ED!$A$1:$C$205,2,FALSE)</f>
        <v>1.5840000000000001</v>
      </c>
      <c r="H19" t="s">
        <v>459</v>
      </c>
      <c r="I19" s="1" t="s">
        <v>767</v>
      </c>
    </row>
    <row r="20" spans="1:9" x14ac:dyDescent="0.25">
      <c r="A20" s="1" t="s">
        <v>461</v>
      </c>
      <c r="B20" s="1" t="s">
        <v>462</v>
      </c>
      <c r="C20" s="1" t="s">
        <v>26</v>
      </c>
      <c r="D20" s="1">
        <v>0.2</v>
      </c>
      <c r="E20" s="6">
        <f>VLOOKUP(A20,BBI_ED!$A$1:$C$205,2,FALSE)</f>
        <v>0.2</v>
      </c>
      <c r="H20" t="s">
        <v>461</v>
      </c>
      <c r="I20" s="1" t="s">
        <v>779</v>
      </c>
    </row>
    <row r="21" spans="1:9" x14ac:dyDescent="0.25">
      <c r="A21" s="1" t="s">
        <v>463</v>
      </c>
      <c r="B21" s="1" t="s">
        <v>464</v>
      </c>
      <c r="C21" s="1" t="s">
        <v>26</v>
      </c>
      <c r="D21" s="1">
        <v>0.1</v>
      </c>
      <c r="E21" s="6">
        <f>VLOOKUP(A21,BBI_ED!$A$1:$C$205,2,FALSE)</f>
        <v>0.1</v>
      </c>
      <c r="H21" t="s">
        <v>463</v>
      </c>
      <c r="I21" s="1" t="s">
        <v>780</v>
      </c>
    </row>
    <row r="22" spans="1:9" x14ac:dyDescent="0.25">
      <c r="A22" s="1" t="s">
        <v>465</v>
      </c>
      <c r="B22" s="1" t="s">
        <v>466</v>
      </c>
      <c r="C22" s="1" t="s">
        <v>26</v>
      </c>
      <c r="D22" s="1">
        <v>1</v>
      </c>
      <c r="E22" s="6">
        <f>VLOOKUP(A22,BBI_ED!$A$1:$C$205,2,FALSE)</f>
        <v>1</v>
      </c>
      <c r="H22" t="s">
        <v>465</v>
      </c>
      <c r="I22" s="1" t="s">
        <v>781</v>
      </c>
    </row>
    <row r="23" spans="1:9" x14ac:dyDescent="0.25">
      <c r="A23" s="1" t="s">
        <v>467</v>
      </c>
      <c r="B23" s="1" t="s">
        <v>468</v>
      </c>
      <c r="C23" s="1" t="s">
        <v>26</v>
      </c>
      <c r="D23" s="1">
        <v>0.185</v>
      </c>
      <c r="E23" s="6">
        <f>VLOOKUP(A23,BBI_ED!$A$1:$C$205,2,FALSE)</f>
        <v>0.185</v>
      </c>
      <c r="H23" t="s">
        <v>467</v>
      </c>
      <c r="I23" s="1" t="s">
        <v>769</v>
      </c>
    </row>
    <row r="24" spans="1:9" x14ac:dyDescent="0.25">
      <c r="A24" s="1" t="s">
        <v>469</v>
      </c>
      <c r="B24" s="1" t="s">
        <v>470</v>
      </c>
      <c r="C24" s="1" t="s">
        <v>26</v>
      </c>
      <c r="D24" s="1">
        <v>0</v>
      </c>
      <c r="E24" s="6">
        <f>VLOOKUP(A24,BBI_ED!$A$1:$C$205,2,FALSE)</f>
        <v>0</v>
      </c>
      <c r="H24" t="s">
        <v>469</v>
      </c>
      <c r="I24" s="1" t="s">
        <v>770</v>
      </c>
    </row>
    <row r="25" spans="1:9" x14ac:dyDescent="0.25">
      <c r="A25" s="1" t="s">
        <v>471</v>
      </c>
      <c r="B25" s="1" t="s">
        <v>472</v>
      </c>
      <c r="C25" s="1" t="s">
        <v>26</v>
      </c>
      <c r="D25" s="1">
        <v>1.375</v>
      </c>
      <c r="E25" s="6">
        <f>VLOOKUP(A25,BBI_ED!$A$1:$C$205,2,FALSE)</f>
        <v>1.375</v>
      </c>
      <c r="H25" t="s">
        <v>471</v>
      </c>
      <c r="I25" s="1" t="s">
        <v>782</v>
      </c>
    </row>
    <row r="26" spans="1:9" ht="30" x14ac:dyDescent="0.25">
      <c r="A26" s="1" t="s">
        <v>473</v>
      </c>
      <c r="B26" s="1" t="s">
        <v>474</v>
      </c>
      <c r="C26" s="1" t="s">
        <v>26</v>
      </c>
      <c r="D26" s="1">
        <v>0.69</v>
      </c>
      <c r="E26" s="6">
        <f>VLOOKUP(A26,BBI_ED!$A$1:$C$205,2,FALSE)</f>
        <v>0.69</v>
      </c>
      <c r="H26" t="s">
        <v>473</v>
      </c>
      <c r="I26" s="1" t="s">
        <v>785</v>
      </c>
    </row>
    <row r="27" spans="1:9" x14ac:dyDescent="0.25">
      <c r="A27" s="1" t="s">
        <v>475</v>
      </c>
      <c r="B27" s="1" t="s">
        <v>476</v>
      </c>
      <c r="C27" s="1" t="s">
        <v>26</v>
      </c>
      <c r="D27" s="1">
        <v>0.21920999999999999</v>
      </c>
      <c r="E27" s="6" t="e">
        <f>VLOOKUP(A27,BBI_ED!$A$1:$C$205,2,FALSE)</f>
        <v>#N/A</v>
      </c>
      <c r="H27" t="s">
        <v>475</v>
      </c>
      <c r="I27" s="1" t="s">
        <v>783</v>
      </c>
    </row>
    <row r="28" spans="1:9" x14ac:dyDescent="0.25">
      <c r="A28" s="1" t="s">
        <v>477</v>
      </c>
      <c r="B28" s="1" t="s">
        <v>478</v>
      </c>
      <c r="C28" s="1" t="s">
        <v>26</v>
      </c>
      <c r="D28" s="1">
        <v>0.40600999999999998</v>
      </c>
      <c r="E28" s="6" t="e">
        <f>VLOOKUP(A28,BBI_ED!$A$1:$C$205,2,FALSE)</f>
        <v>#N/A</v>
      </c>
      <c r="H28" t="s">
        <v>477</v>
      </c>
      <c r="I28" s="1" t="s">
        <v>784</v>
      </c>
    </row>
    <row r="29" spans="1:9" x14ac:dyDescent="0.25">
      <c r="A29" s="2" t="s">
        <v>424</v>
      </c>
      <c r="I29" s="1"/>
    </row>
    <row r="30" spans="1:9" ht="30" x14ac:dyDescent="0.25">
      <c r="A30" s="1" t="s">
        <v>479</v>
      </c>
      <c r="B30" s="1" t="s">
        <v>480</v>
      </c>
      <c r="C30" s="1" t="s">
        <v>29</v>
      </c>
      <c r="D30" s="1">
        <v>5</v>
      </c>
      <c r="E30" s="6">
        <f>VLOOKUP(A30,BBI_ED!$A$1:$C$205,2,FALSE)</f>
        <v>5</v>
      </c>
      <c r="H30" t="s">
        <v>479</v>
      </c>
      <c r="I30" s="1" t="s">
        <v>786</v>
      </c>
    </row>
    <row r="31" spans="1:9" ht="30" x14ac:dyDescent="0.25">
      <c r="A31" s="1" t="s">
        <v>481</v>
      </c>
      <c r="B31" s="1" t="s">
        <v>482</v>
      </c>
      <c r="C31" s="1" t="s">
        <v>29</v>
      </c>
      <c r="D31" s="1">
        <v>47</v>
      </c>
      <c r="E31" s="6">
        <f>VLOOKUP(A31,BBI_ED!$A$1:$C$205,2,FALSE)</f>
        <v>47</v>
      </c>
      <c r="H31" t="s">
        <v>481</v>
      </c>
      <c r="I31" s="1" t="s">
        <v>787</v>
      </c>
    </row>
    <row r="32" spans="1:9" ht="30" x14ac:dyDescent="0.25">
      <c r="A32" s="1" t="s">
        <v>483</v>
      </c>
      <c r="B32" s="1" t="s">
        <v>484</v>
      </c>
      <c r="C32" s="1" t="s">
        <v>29</v>
      </c>
      <c r="D32" s="1">
        <v>35</v>
      </c>
      <c r="E32" s="6">
        <f>VLOOKUP(A32,BBI_ED!$A$1:$C$205,2,FALSE)</f>
        <v>35</v>
      </c>
      <c r="H32" t="s">
        <v>483</v>
      </c>
      <c r="I32" s="1" t="s">
        <v>788</v>
      </c>
    </row>
    <row r="33" spans="1:9" ht="30" x14ac:dyDescent="0.25">
      <c r="A33" s="1" t="s">
        <v>485</v>
      </c>
      <c r="B33" s="1" t="s">
        <v>486</v>
      </c>
      <c r="C33" s="1" t="s">
        <v>29</v>
      </c>
      <c r="D33" s="1">
        <v>32</v>
      </c>
      <c r="E33" s="6" t="e">
        <f>VLOOKUP(A33,BBI_ED!$A$1:$C$205,2,FALSE)</f>
        <v>#N/A</v>
      </c>
      <c r="H33" t="s">
        <v>485</v>
      </c>
      <c r="I33" t="s">
        <v>789</v>
      </c>
    </row>
    <row r="34" spans="1:9" x14ac:dyDescent="0.25">
      <c r="A34" s="2" t="s">
        <v>512</v>
      </c>
      <c r="I34" s="1"/>
    </row>
    <row r="35" spans="1:9" x14ac:dyDescent="0.25">
      <c r="A35" s="1" t="s">
        <v>487</v>
      </c>
      <c r="B35" s="1" t="s">
        <v>489</v>
      </c>
      <c r="C35" s="1" t="s">
        <v>488</v>
      </c>
      <c r="D35" s="1">
        <v>0.1</v>
      </c>
      <c r="E35" s="6">
        <f>VLOOKUP(A35,BBI_ED!$A$1:$C$205,2,FALSE)</f>
        <v>0.1</v>
      </c>
      <c r="H35" t="s">
        <v>487</v>
      </c>
      <c r="I35" s="1" t="s">
        <v>790</v>
      </c>
    </row>
    <row r="36" spans="1:9" x14ac:dyDescent="0.25">
      <c r="A36" s="1" t="s">
        <v>490</v>
      </c>
      <c r="B36" s="1" t="s">
        <v>491</v>
      </c>
      <c r="C36" s="1" t="s">
        <v>35</v>
      </c>
      <c r="D36" s="1">
        <v>1.2500000000000001E-2</v>
      </c>
      <c r="E36" s="6">
        <f>VLOOKUP(A36,BBI_ED!$A$1:$C$205,2,FALSE)</f>
        <v>1.2500000000000001E-2</v>
      </c>
      <c r="H36" t="s">
        <v>490</v>
      </c>
      <c r="I36" s="1" t="s">
        <v>791</v>
      </c>
    </row>
    <row r="37" spans="1:9" x14ac:dyDescent="0.25">
      <c r="A37" s="1" t="s">
        <v>492</v>
      </c>
      <c r="B37" s="1" t="s">
        <v>494</v>
      </c>
      <c r="C37" s="1" t="s">
        <v>493</v>
      </c>
      <c r="D37" s="1">
        <v>0.09</v>
      </c>
      <c r="E37" s="6">
        <f>VLOOKUP(A37,BBI_ED!$A$1:$C$205,2,FALSE)</f>
        <v>0.09</v>
      </c>
      <c r="H37" t="s">
        <v>492</v>
      </c>
      <c r="I37" t="s">
        <v>792</v>
      </c>
    </row>
    <row r="38" spans="1:9" x14ac:dyDescent="0.25">
      <c r="A38" s="1" t="s">
        <v>495</v>
      </c>
      <c r="B38" s="1" t="s">
        <v>497</v>
      </c>
      <c r="C38" s="1" t="s">
        <v>496</v>
      </c>
      <c r="D38" s="1">
        <v>4</v>
      </c>
      <c r="E38" s="6">
        <f>VLOOKUP(A38,BBI_ED!$A$1:$C$205,2,FALSE)</f>
        <v>4</v>
      </c>
      <c r="H38" t="s">
        <v>495</v>
      </c>
      <c r="I38" s="1" t="s">
        <v>793</v>
      </c>
    </row>
    <row r="39" spans="1:9" x14ac:dyDescent="0.25">
      <c r="A39" s="1" t="s">
        <v>498</v>
      </c>
      <c r="B39" s="1" t="s">
        <v>499</v>
      </c>
      <c r="C39" s="1" t="s">
        <v>26</v>
      </c>
      <c r="D39" s="1">
        <v>0.97499999999999998</v>
      </c>
      <c r="E39" s="6">
        <f>VLOOKUP(A39,BBI_ED!$A$1:$C$205,2,FALSE)</f>
        <v>0.97499999999999998</v>
      </c>
      <c r="H39" t="s">
        <v>498</v>
      </c>
      <c r="I39" s="1" t="s">
        <v>794</v>
      </c>
    </row>
    <row r="40" spans="1:9" x14ac:dyDescent="0.25">
      <c r="A40" s="1" t="s">
        <v>500</v>
      </c>
      <c r="B40" s="1" t="s">
        <v>501</v>
      </c>
      <c r="C40" s="1" t="s">
        <v>326</v>
      </c>
      <c r="D40" s="1">
        <v>100</v>
      </c>
      <c r="E40" s="6">
        <f>VLOOKUP(A40,BBI_ED!$A$1:$C$205,2,FALSE)</f>
        <v>100</v>
      </c>
      <c r="H40" t="s">
        <v>500</v>
      </c>
      <c r="I40" s="1" t="s">
        <v>795</v>
      </c>
    </row>
    <row r="41" spans="1:9" x14ac:dyDescent="0.25">
      <c r="A41" s="1" t="s">
        <v>502</v>
      </c>
      <c r="B41" s="1" t="s">
        <v>503</v>
      </c>
      <c r="C41" s="1" t="s">
        <v>35</v>
      </c>
      <c r="D41" s="1">
        <v>8.3330000000000003E-5</v>
      </c>
      <c r="E41" s="6">
        <f>VLOOKUP(A41,BBI_ED!$A$1:$C$205,2,FALSE)</f>
        <v>8.3330000000000003E-5</v>
      </c>
      <c r="H41" t="s">
        <v>502</v>
      </c>
      <c r="I41" s="1" t="s">
        <v>796</v>
      </c>
    </row>
    <row r="42" spans="1:9" x14ac:dyDescent="0.25">
      <c r="A42" s="1" t="s">
        <v>510</v>
      </c>
    </row>
    <row r="43" spans="1:9" x14ac:dyDescent="0.25">
      <c r="A43" s="1" t="s">
        <v>504</v>
      </c>
      <c r="B43" s="1" t="s">
        <v>505</v>
      </c>
      <c r="C43" s="1" t="s">
        <v>26</v>
      </c>
      <c r="D43" s="1">
        <v>4</v>
      </c>
      <c r="E43" s="6">
        <f>VLOOKUP(A43,BBI_ED!$A$1:$C$205,2,FALSE)</f>
        <v>4</v>
      </c>
      <c r="H43" t="s">
        <v>504</v>
      </c>
      <c r="I43" s="1">
        <v>0</v>
      </c>
    </row>
    <row r="44" spans="1:9" ht="30" x14ac:dyDescent="0.25">
      <c r="A44" s="1" t="s">
        <v>506</v>
      </c>
      <c r="B44" s="1" t="s">
        <v>507</v>
      </c>
      <c r="C44" s="1" t="s">
        <v>26</v>
      </c>
      <c r="D44" s="1">
        <v>9</v>
      </c>
      <c r="E44" s="6">
        <f>VLOOKUP(A44,BBI_ED!$A$1:$C$205,2,FALSE)</f>
        <v>9</v>
      </c>
      <c r="H44" t="s">
        <v>506</v>
      </c>
      <c r="I44" s="1" t="s">
        <v>797</v>
      </c>
    </row>
    <row r="45" spans="1:9" x14ac:dyDescent="0.25">
      <c r="A45" s="1" t="s">
        <v>508</v>
      </c>
      <c r="B45" s="1" t="s">
        <v>509</v>
      </c>
      <c r="C45" s="1" t="s">
        <v>26</v>
      </c>
      <c r="D45" s="1">
        <v>6.8</v>
      </c>
      <c r="E45" s="6">
        <f>VLOOKUP(A45,BBI_ED!$A$1:$C$205,2,FALSE)</f>
        <v>6.8</v>
      </c>
      <c r="H45" t="s">
        <v>508</v>
      </c>
      <c r="I45" s="1" t="s">
        <v>798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28AA-E611-416A-8A0B-A4A31D8F48B7}">
  <dimension ref="A1:E205"/>
  <sheetViews>
    <sheetView zoomScaleNormal="100" workbookViewId="0">
      <selection activeCell="B69" sqref="B69"/>
    </sheetView>
  </sheetViews>
  <sheetFormatPr defaultColWidth="11.42578125" defaultRowHeight="15" x14ac:dyDescent="0.25"/>
  <cols>
    <col min="2" max="2" width="12.7109375" bestFit="1" customWidth="1"/>
  </cols>
  <sheetData>
    <row r="1" spans="1:5" x14ac:dyDescent="0.25">
      <c r="A1" s="12" t="s">
        <v>539</v>
      </c>
      <c r="B1">
        <v>0</v>
      </c>
      <c r="C1" t="s">
        <v>26</v>
      </c>
      <c r="E1" s="12"/>
    </row>
    <row r="2" spans="1:5" x14ac:dyDescent="0.25">
      <c r="A2" s="12" t="s">
        <v>500</v>
      </c>
      <c r="B2">
        <v>100</v>
      </c>
      <c r="C2" t="s">
        <v>326</v>
      </c>
      <c r="E2" s="12"/>
    </row>
    <row r="3" spans="1:5" x14ac:dyDescent="0.25">
      <c r="A3" s="12" t="s">
        <v>355</v>
      </c>
      <c r="B3">
        <v>0.5</v>
      </c>
      <c r="C3" t="s">
        <v>356</v>
      </c>
      <c r="E3" s="12"/>
    </row>
    <row r="4" spans="1:5" x14ac:dyDescent="0.25">
      <c r="A4" s="12" t="s">
        <v>393</v>
      </c>
      <c r="B4">
        <v>1.1299999999999999</v>
      </c>
      <c r="C4" t="s">
        <v>356</v>
      </c>
      <c r="E4" s="12"/>
    </row>
    <row r="5" spans="1:5" x14ac:dyDescent="0.25">
      <c r="A5" s="12" t="s">
        <v>387</v>
      </c>
      <c r="B5">
        <v>1.4</v>
      </c>
      <c r="C5" t="s">
        <v>356</v>
      </c>
      <c r="E5" s="12"/>
    </row>
    <row r="6" spans="1:5" x14ac:dyDescent="0.25">
      <c r="A6" s="12" t="s">
        <v>377</v>
      </c>
      <c r="B6">
        <v>0.13</v>
      </c>
      <c r="C6" t="s">
        <v>356</v>
      </c>
      <c r="E6" s="12"/>
    </row>
    <row r="7" spans="1:5" x14ac:dyDescent="0.25">
      <c r="A7" s="12" t="s">
        <v>293</v>
      </c>
      <c r="B7">
        <v>0.5</v>
      </c>
      <c r="C7" t="s">
        <v>26</v>
      </c>
      <c r="E7" s="12"/>
    </row>
    <row r="8" spans="1:5" x14ac:dyDescent="0.25">
      <c r="A8" s="12" t="s">
        <v>347</v>
      </c>
      <c r="B8">
        <v>3700</v>
      </c>
      <c r="C8" t="s">
        <v>348</v>
      </c>
      <c r="E8" s="12"/>
    </row>
    <row r="9" spans="1:5" x14ac:dyDescent="0.25">
      <c r="A9" s="12" t="s">
        <v>381</v>
      </c>
      <c r="B9">
        <v>2000</v>
      </c>
      <c r="C9" t="s">
        <v>348</v>
      </c>
      <c r="E9" s="12"/>
    </row>
    <row r="10" spans="1:5" x14ac:dyDescent="0.25">
      <c r="A10" s="12" t="s">
        <v>330</v>
      </c>
      <c r="B10">
        <v>5000</v>
      </c>
      <c r="C10" t="s">
        <v>331</v>
      </c>
      <c r="E10" s="12"/>
    </row>
    <row r="11" spans="1:5" x14ac:dyDescent="0.25">
      <c r="A11" s="12" t="s">
        <v>398</v>
      </c>
      <c r="B11">
        <v>4000</v>
      </c>
      <c r="C11" t="s">
        <v>348</v>
      </c>
      <c r="E11" s="12"/>
    </row>
    <row r="12" spans="1:5" x14ac:dyDescent="0.25">
      <c r="A12" s="12" t="s">
        <v>368</v>
      </c>
      <c r="B12">
        <v>3700</v>
      </c>
      <c r="C12" t="s">
        <v>348</v>
      </c>
      <c r="E12" s="12"/>
    </row>
    <row r="13" spans="1:5" x14ac:dyDescent="0.25">
      <c r="A13" s="12" t="s">
        <v>333</v>
      </c>
      <c r="B13">
        <v>1000</v>
      </c>
      <c r="C13" t="s">
        <v>331</v>
      </c>
      <c r="E13" s="12"/>
    </row>
    <row r="14" spans="1:5" x14ac:dyDescent="0.25">
      <c r="A14" s="12" t="s">
        <v>421</v>
      </c>
      <c r="B14">
        <v>10</v>
      </c>
      <c r="C14" t="s">
        <v>422</v>
      </c>
      <c r="E14" s="12"/>
    </row>
    <row r="15" spans="1:5" x14ac:dyDescent="0.25">
      <c r="A15" s="12" t="s">
        <v>404</v>
      </c>
      <c r="B15">
        <v>7.6999999999999999E-2</v>
      </c>
      <c r="C15" t="s">
        <v>356</v>
      </c>
      <c r="E15" s="12"/>
    </row>
    <row r="16" spans="1:5" x14ac:dyDescent="0.25">
      <c r="A16" s="12" t="s">
        <v>295</v>
      </c>
      <c r="B16">
        <v>0.5</v>
      </c>
      <c r="C16" t="s">
        <v>26</v>
      </c>
      <c r="E16" s="12"/>
    </row>
    <row r="17" spans="1:5" x14ac:dyDescent="0.25">
      <c r="A17" s="12" t="s">
        <v>531</v>
      </c>
      <c r="B17">
        <v>0</v>
      </c>
      <c r="C17" t="s">
        <v>61</v>
      </c>
      <c r="E17" s="12"/>
    </row>
    <row r="18" spans="1:5" x14ac:dyDescent="0.25">
      <c r="A18" s="12" t="s">
        <v>134</v>
      </c>
      <c r="B18">
        <v>2.44</v>
      </c>
      <c r="C18" t="s">
        <v>61</v>
      </c>
      <c r="E18" s="12"/>
    </row>
    <row r="19" spans="1:5" x14ac:dyDescent="0.25">
      <c r="A19" s="12" t="s">
        <v>532</v>
      </c>
      <c r="B19">
        <v>5.8999999999999997E-2</v>
      </c>
      <c r="C19" t="s">
        <v>61</v>
      </c>
      <c r="E19" s="12"/>
    </row>
    <row r="20" spans="1:5" x14ac:dyDescent="0.25">
      <c r="A20" s="12" t="s">
        <v>71</v>
      </c>
      <c r="B20">
        <v>16.47</v>
      </c>
      <c r="C20" t="s">
        <v>61</v>
      </c>
      <c r="E20" s="12"/>
    </row>
    <row r="21" spans="1:5" x14ac:dyDescent="0.25">
      <c r="A21" s="12" t="s">
        <v>529</v>
      </c>
      <c r="B21">
        <v>9.8000000000000004E-2</v>
      </c>
      <c r="C21" t="s">
        <v>61</v>
      </c>
      <c r="E21" s="12"/>
    </row>
    <row r="22" spans="1:5" x14ac:dyDescent="0.25">
      <c r="A22" s="12" t="s">
        <v>530</v>
      </c>
      <c r="B22">
        <v>0.03</v>
      </c>
      <c r="C22" t="s">
        <v>61</v>
      </c>
      <c r="E22" s="12"/>
    </row>
    <row r="23" spans="1:5" x14ac:dyDescent="0.25">
      <c r="A23" s="12" t="s">
        <v>533</v>
      </c>
      <c r="B23">
        <v>1.2391999999999999E-4</v>
      </c>
      <c r="C23" t="s">
        <v>61</v>
      </c>
      <c r="E23" s="12"/>
    </row>
    <row r="24" spans="1:5" x14ac:dyDescent="0.25">
      <c r="A24" s="12" t="s">
        <v>60</v>
      </c>
      <c r="B24">
        <v>0</v>
      </c>
      <c r="C24" t="s">
        <v>61</v>
      </c>
      <c r="E24" s="12"/>
    </row>
    <row r="25" spans="1:5" x14ac:dyDescent="0.25">
      <c r="A25" s="12" t="s">
        <v>73</v>
      </c>
      <c r="B25">
        <v>0</v>
      </c>
      <c r="C25" t="s">
        <v>61</v>
      </c>
      <c r="E25" s="12"/>
    </row>
    <row r="26" spans="1:5" x14ac:dyDescent="0.25">
      <c r="A26" s="12" t="s">
        <v>75</v>
      </c>
      <c r="B26">
        <v>0</v>
      </c>
      <c r="C26" t="s">
        <v>61</v>
      </c>
      <c r="E26" s="12"/>
    </row>
    <row r="27" spans="1:5" x14ac:dyDescent="0.25">
      <c r="A27" s="12" t="s">
        <v>570</v>
      </c>
      <c r="B27">
        <v>35.207999999999998</v>
      </c>
      <c r="C27" t="s">
        <v>571</v>
      </c>
      <c r="E27" s="12"/>
    </row>
    <row r="28" spans="1:5" x14ac:dyDescent="0.25">
      <c r="A28" s="12" t="s">
        <v>271</v>
      </c>
      <c r="B28">
        <v>9.9999999999999995E-8</v>
      </c>
      <c r="C28" t="s">
        <v>61</v>
      </c>
      <c r="E28" s="12"/>
    </row>
    <row r="29" spans="1:5" x14ac:dyDescent="0.25">
      <c r="A29" s="12" t="s">
        <v>273</v>
      </c>
      <c r="B29">
        <v>1.167</v>
      </c>
      <c r="C29" t="s">
        <v>274</v>
      </c>
      <c r="E29" s="12"/>
    </row>
    <row r="30" spans="1:5" x14ac:dyDescent="0.25">
      <c r="A30" s="12" t="s">
        <v>548</v>
      </c>
      <c r="B30">
        <v>0.34947</v>
      </c>
      <c r="C30" t="s">
        <v>549</v>
      </c>
      <c r="E30" s="12"/>
    </row>
    <row r="31" spans="1:5" x14ac:dyDescent="0.25">
      <c r="A31" s="12" t="s">
        <v>525</v>
      </c>
      <c r="B31">
        <v>7.5646999999999997E-3</v>
      </c>
      <c r="C31" t="s">
        <v>41</v>
      </c>
      <c r="E31" s="12"/>
    </row>
    <row r="32" spans="1:5" x14ac:dyDescent="0.25">
      <c r="A32" s="12" t="s">
        <v>58</v>
      </c>
      <c r="B32">
        <v>0</v>
      </c>
      <c r="C32" t="s">
        <v>41</v>
      </c>
      <c r="E32" s="12"/>
    </row>
    <row r="33" spans="1:5" x14ac:dyDescent="0.25">
      <c r="A33" s="12" t="s">
        <v>77</v>
      </c>
      <c r="B33">
        <v>0</v>
      </c>
      <c r="C33" t="s">
        <v>41</v>
      </c>
      <c r="E33" s="12"/>
    </row>
    <row r="34" spans="1:5" x14ac:dyDescent="0.25">
      <c r="A34" s="12" t="s">
        <v>79</v>
      </c>
      <c r="B34">
        <v>0</v>
      </c>
      <c r="C34" t="s">
        <v>41</v>
      </c>
      <c r="E34" s="12"/>
    </row>
    <row r="35" spans="1:5" x14ac:dyDescent="0.25">
      <c r="A35" s="12" t="s">
        <v>524</v>
      </c>
      <c r="B35">
        <v>0</v>
      </c>
      <c r="C35" t="s">
        <v>61</v>
      </c>
      <c r="E35" s="12"/>
    </row>
    <row r="36" spans="1:5" x14ac:dyDescent="0.25">
      <c r="A36" s="12" t="s">
        <v>69</v>
      </c>
      <c r="B36">
        <v>0</v>
      </c>
      <c r="C36" t="s">
        <v>61</v>
      </c>
      <c r="E36" s="12"/>
    </row>
    <row r="37" spans="1:5" x14ac:dyDescent="0.25">
      <c r="A37" s="12" t="s">
        <v>522</v>
      </c>
      <c r="B37">
        <v>0.2</v>
      </c>
      <c r="C37" t="s">
        <v>41</v>
      </c>
      <c r="E37" s="12"/>
    </row>
    <row r="38" spans="1:5" x14ac:dyDescent="0.25">
      <c r="A38" s="12" t="s">
        <v>56</v>
      </c>
      <c r="B38">
        <v>0</v>
      </c>
      <c r="C38" t="s">
        <v>41</v>
      </c>
      <c r="E38" s="12"/>
    </row>
    <row r="39" spans="1:5" x14ac:dyDescent="0.25">
      <c r="A39" s="12" t="s">
        <v>523</v>
      </c>
      <c r="B39">
        <v>0</v>
      </c>
      <c r="C39" t="s">
        <v>41</v>
      </c>
      <c r="E39" s="12"/>
    </row>
    <row r="40" spans="1:5" x14ac:dyDescent="0.25">
      <c r="A40" s="12" t="s">
        <v>65</v>
      </c>
      <c r="B40">
        <v>0</v>
      </c>
      <c r="C40" t="s">
        <v>41</v>
      </c>
      <c r="E40" s="12"/>
    </row>
    <row r="41" spans="1:5" x14ac:dyDescent="0.25">
      <c r="A41" s="12" t="s">
        <v>416</v>
      </c>
      <c r="B41">
        <v>0.13900000000000001</v>
      </c>
      <c r="C41" t="s">
        <v>417</v>
      </c>
      <c r="E41" s="12"/>
    </row>
    <row r="42" spans="1:5" x14ac:dyDescent="0.25">
      <c r="A42" s="12" t="s">
        <v>47</v>
      </c>
      <c r="B42">
        <v>50</v>
      </c>
      <c r="C42" t="s">
        <v>41</v>
      </c>
      <c r="E42" s="12"/>
    </row>
    <row r="43" spans="1:5" x14ac:dyDescent="0.25">
      <c r="A43" s="12" t="s">
        <v>284</v>
      </c>
      <c r="B43">
        <v>100</v>
      </c>
      <c r="C43" t="s">
        <v>41</v>
      </c>
      <c r="E43" s="12"/>
    </row>
    <row r="44" spans="1:5" x14ac:dyDescent="0.25">
      <c r="A44" s="12" t="s">
        <v>521</v>
      </c>
      <c r="B44">
        <v>50</v>
      </c>
      <c r="C44" t="s">
        <v>41</v>
      </c>
      <c r="E44" s="12"/>
    </row>
    <row r="45" spans="1:5" x14ac:dyDescent="0.25">
      <c r="A45" s="12" t="s">
        <v>67</v>
      </c>
      <c r="B45">
        <v>0</v>
      </c>
      <c r="C45" t="s">
        <v>41</v>
      </c>
      <c r="E45" s="12"/>
    </row>
    <row r="46" spans="1:5" x14ac:dyDescent="0.25">
      <c r="A46" s="12" t="s">
        <v>569</v>
      </c>
      <c r="B46">
        <v>63.83</v>
      </c>
      <c r="C46" t="s">
        <v>326</v>
      </c>
      <c r="E46" s="12"/>
    </row>
    <row r="47" spans="1:5" x14ac:dyDescent="0.25">
      <c r="A47" s="12" t="s">
        <v>473</v>
      </c>
      <c r="B47">
        <v>0.69</v>
      </c>
      <c r="C47" t="s">
        <v>26</v>
      </c>
      <c r="E47" s="12"/>
    </row>
    <row r="48" spans="1:5" x14ac:dyDescent="0.25">
      <c r="A48" s="12" t="s">
        <v>350</v>
      </c>
      <c r="B48">
        <v>3.0000000000000001E-3</v>
      </c>
      <c r="C48" t="s">
        <v>336</v>
      </c>
      <c r="E48" s="12"/>
    </row>
    <row r="49" spans="1:5" x14ac:dyDescent="0.25">
      <c r="A49" s="12" t="s">
        <v>389</v>
      </c>
      <c r="B49">
        <v>4.0000000000000001E-3</v>
      </c>
      <c r="C49" t="s">
        <v>336</v>
      </c>
      <c r="E49" s="12"/>
    </row>
    <row r="50" spans="1:5" x14ac:dyDescent="0.25">
      <c r="A50" s="12" t="s">
        <v>383</v>
      </c>
      <c r="B50">
        <v>4.0000000000000001E-3</v>
      </c>
      <c r="C50" t="s">
        <v>336</v>
      </c>
      <c r="E50" s="12"/>
    </row>
    <row r="51" spans="1:5" x14ac:dyDescent="0.25">
      <c r="A51" s="12" t="s">
        <v>335</v>
      </c>
      <c r="B51">
        <v>1E-3</v>
      </c>
      <c r="C51" t="s">
        <v>336</v>
      </c>
      <c r="E51" s="12"/>
    </row>
    <row r="52" spans="1:5" x14ac:dyDescent="0.25">
      <c r="A52" s="12" t="s">
        <v>276</v>
      </c>
      <c r="B52">
        <v>2170</v>
      </c>
      <c r="C52" t="s">
        <v>277</v>
      </c>
      <c r="E52" s="12"/>
    </row>
    <row r="53" spans="1:5" x14ac:dyDescent="0.25">
      <c r="A53" s="12" t="s">
        <v>400</v>
      </c>
      <c r="B53">
        <v>4.0000000000000001E-3</v>
      </c>
      <c r="C53" t="s">
        <v>336</v>
      </c>
      <c r="E53" s="12"/>
    </row>
    <row r="54" spans="1:5" x14ac:dyDescent="0.25">
      <c r="A54" s="12" t="s">
        <v>31</v>
      </c>
      <c r="B54">
        <v>0</v>
      </c>
      <c r="C54" t="s">
        <v>32</v>
      </c>
      <c r="E54" s="12"/>
    </row>
    <row r="55" spans="1:5" x14ac:dyDescent="0.25">
      <c r="A55" s="12" t="s">
        <v>566</v>
      </c>
      <c r="B55">
        <v>1500</v>
      </c>
      <c r="C55" t="s">
        <v>326</v>
      </c>
      <c r="E55" s="12"/>
    </row>
    <row r="56" spans="1:5" x14ac:dyDescent="0.25">
      <c r="A56" s="12" t="s">
        <v>279</v>
      </c>
      <c r="B56">
        <v>1.0020000000000001E-3</v>
      </c>
      <c r="C56" t="s">
        <v>280</v>
      </c>
      <c r="E56" s="12"/>
    </row>
    <row r="57" spans="1:5" x14ac:dyDescent="0.25">
      <c r="A57" s="12" t="s">
        <v>282</v>
      </c>
      <c r="B57">
        <v>0.01</v>
      </c>
      <c r="C57" t="s">
        <v>280</v>
      </c>
      <c r="E57" s="12"/>
    </row>
    <row r="58" spans="1:5" x14ac:dyDescent="0.25">
      <c r="A58" s="12" t="s">
        <v>323</v>
      </c>
      <c r="B58">
        <v>0.1</v>
      </c>
      <c r="C58" t="s">
        <v>21</v>
      </c>
      <c r="E58" s="12"/>
    </row>
    <row r="59" spans="1:5" x14ac:dyDescent="0.25">
      <c r="A59" s="12" t="s">
        <v>321</v>
      </c>
      <c r="B59">
        <v>5</v>
      </c>
      <c r="C59" t="s">
        <v>21</v>
      </c>
      <c r="E59" s="12"/>
    </row>
    <row r="60" spans="1:5" x14ac:dyDescent="0.25">
      <c r="A60" s="12" t="s">
        <v>301</v>
      </c>
      <c r="B60">
        <v>10</v>
      </c>
      <c r="C60" t="s">
        <v>10</v>
      </c>
      <c r="E60" s="12"/>
    </row>
    <row r="61" spans="1:5" x14ac:dyDescent="0.25">
      <c r="A61" s="12" t="s">
        <v>9</v>
      </c>
      <c r="B61">
        <v>0</v>
      </c>
      <c r="C61" t="s">
        <v>10</v>
      </c>
      <c r="E61" s="12"/>
    </row>
    <row r="62" spans="1:5" x14ac:dyDescent="0.25">
      <c r="A62" s="12" t="s">
        <v>307</v>
      </c>
      <c r="B62">
        <v>2</v>
      </c>
      <c r="C62" t="s">
        <v>10</v>
      </c>
      <c r="E62" s="12"/>
    </row>
    <row r="63" spans="1:5" x14ac:dyDescent="0.25">
      <c r="A63" s="12" t="s">
        <v>16</v>
      </c>
      <c r="B63">
        <v>0</v>
      </c>
      <c r="C63" t="s">
        <v>10</v>
      </c>
      <c r="E63" s="12"/>
    </row>
    <row r="64" spans="1:5" x14ac:dyDescent="0.25">
      <c r="A64" s="12" t="s">
        <v>309</v>
      </c>
      <c r="B64">
        <v>17</v>
      </c>
      <c r="C64" t="s">
        <v>10</v>
      </c>
      <c r="E64" s="12"/>
    </row>
    <row r="65" spans="1:5" x14ac:dyDescent="0.25">
      <c r="A65" s="12" t="s">
        <v>305</v>
      </c>
      <c r="B65">
        <v>5</v>
      </c>
      <c r="C65" t="s">
        <v>10</v>
      </c>
      <c r="E65" s="12"/>
    </row>
    <row r="66" spans="1:5" x14ac:dyDescent="0.25">
      <c r="A66" s="12" t="s">
        <v>12</v>
      </c>
      <c r="B66">
        <v>0</v>
      </c>
      <c r="C66" t="s">
        <v>10</v>
      </c>
      <c r="E66" s="12"/>
    </row>
    <row r="67" spans="1:5" x14ac:dyDescent="0.25">
      <c r="A67" s="12" t="s">
        <v>303</v>
      </c>
      <c r="B67">
        <v>5</v>
      </c>
      <c r="C67" t="s">
        <v>10</v>
      </c>
      <c r="E67" s="12"/>
    </row>
    <row r="68" spans="1:5" x14ac:dyDescent="0.25">
      <c r="A68" s="12" t="s">
        <v>14</v>
      </c>
      <c r="B68">
        <v>0</v>
      </c>
      <c r="C68" t="s">
        <v>10</v>
      </c>
      <c r="E68" s="12"/>
    </row>
    <row r="69" spans="1:5" x14ac:dyDescent="0.25">
      <c r="A69" s="12" t="s">
        <v>299</v>
      </c>
      <c r="B69">
        <v>0</v>
      </c>
      <c r="C69" t="s">
        <v>21</v>
      </c>
      <c r="E69" s="12"/>
    </row>
    <row r="70" spans="1:5" x14ac:dyDescent="0.25">
      <c r="A70" s="12" t="s">
        <v>558</v>
      </c>
      <c r="B70">
        <v>0</v>
      </c>
      <c r="C70" t="s">
        <v>4</v>
      </c>
      <c r="E70" s="12"/>
    </row>
    <row r="71" spans="1:5" x14ac:dyDescent="0.25">
      <c r="A71" s="12" t="s">
        <v>325</v>
      </c>
      <c r="B71">
        <v>1</v>
      </c>
      <c r="C71" t="s">
        <v>21</v>
      </c>
      <c r="E71" s="12"/>
    </row>
    <row r="72" spans="1:5" x14ac:dyDescent="0.25">
      <c r="A72" s="12" t="s">
        <v>328</v>
      </c>
      <c r="B72">
        <v>1</v>
      </c>
      <c r="C72" t="s">
        <v>21</v>
      </c>
      <c r="E72" s="12"/>
    </row>
    <row r="73" spans="1:5" x14ac:dyDescent="0.25">
      <c r="A73" s="12" t="s">
        <v>296</v>
      </c>
      <c r="B73">
        <v>-0.05</v>
      </c>
      <c r="C73" t="s">
        <v>26</v>
      </c>
      <c r="E73" s="12"/>
    </row>
    <row r="74" spans="1:5" x14ac:dyDescent="0.25">
      <c r="A74" s="12" t="s">
        <v>538</v>
      </c>
      <c r="B74">
        <v>0</v>
      </c>
      <c r="C74" t="s">
        <v>26</v>
      </c>
      <c r="E74" s="12"/>
    </row>
    <row r="75" spans="1:5" x14ac:dyDescent="0.25">
      <c r="A75" s="12" t="s">
        <v>237</v>
      </c>
      <c r="B75">
        <v>30010</v>
      </c>
      <c r="C75" t="s">
        <v>553</v>
      </c>
      <c r="E75" s="12"/>
    </row>
    <row r="76" spans="1:5" x14ac:dyDescent="0.25">
      <c r="A76" s="12" t="s">
        <v>232</v>
      </c>
      <c r="B76">
        <v>1448000</v>
      </c>
      <c r="C76" t="s">
        <v>553</v>
      </c>
      <c r="E76" s="12"/>
    </row>
    <row r="77" spans="1:5" x14ac:dyDescent="0.25">
      <c r="A77" s="12" t="s">
        <v>266</v>
      </c>
      <c r="B77">
        <v>-3.8890000000000001E-2</v>
      </c>
      <c r="C77" t="s">
        <v>554</v>
      </c>
      <c r="E77" s="12"/>
    </row>
    <row r="78" spans="1:5" x14ac:dyDescent="0.25">
      <c r="A78" s="12" t="s">
        <v>257</v>
      </c>
      <c r="B78">
        <v>-2.7230000000000001E-2</v>
      </c>
      <c r="C78" t="s">
        <v>554</v>
      </c>
      <c r="E78" s="12"/>
    </row>
    <row r="79" spans="1:5" x14ac:dyDescent="0.25">
      <c r="A79" s="12" t="s">
        <v>268</v>
      </c>
      <c r="B79">
        <v>9.4419999999999997E-4</v>
      </c>
      <c r="C79" t="s">
        <v>555</v>
      </c>
      <c r="E79" s="12"/>
    </row>
    <row r="80" spans="1:5" x14ac:dyDescent="0.25">
      <c r="A80" s="12" t="s">
        <v>260</v>
      </c>
      <c r="B80">
        <v>5.6269999999999996E-4</v>
      </c>
      <c r="C80" t="s">
        <v>555</v>
      </c>
      <c r="E80" s="12"/>
    </row>
    <row r="81" spans="1:5" x14ac:dyDescent="0.25">
      <c r="A81" s="12" t="s">
        <v>269</v>
      </c>
      <c r="B81">
        <v>-1.328E-5</v>
      </c>
      <c r="C81" t="s">
        <v>556</v>
      </c>
      <c r="E81" s="12"/>
    </row>
    <row r="82" spans="1:5" x14ac:dyDescent="0.25">
      <c r="A82" s="12" t="s">
        <v>262</v>
      </c>
      <c r="B82">
        <v>-6.5969999999999997E-6</v>
      </c>
      <c r="C82" t="s">
        <v>556</v>
      </c>
      <c r="E82" s="12"/>
    </row>
    <row r="83" spans="1:5" x14ac:dyDescent="0.25">
      <c r="A83" s="12" t="s">
        <v>270</v>
      </c>
      <c r="B83">
        <v>8.1050000000000001E-8</v>
      </c>
      <c r="C83" t="s">
        <v>557</v>
      </c>
      <c r="E83" s="12"/>
    </row>
    <row r="84" spans="1:5" x14ac:dyDescent="0.25">
      <c r="A84" s="12" t="s">
        <v>264</v>
      </c>
      <c r="B84">
        <v>3.2829999999999997E-8</v>
      </c>
      <c r="C84" t="s">
        <v>557</v>
      </c>
      <c r="E84" s="12"/>
    </row>
    <row r="85" spans="1:5" x14ac:dyDescent="0.25">
      <c r="A85" s="12" t="s">
        <v>107</v>
      </c>
      <c r="B85">
        <v>1.54E-2</v>
      </c>
      <c r="C85" t="s">
        <v>61</v>
      </c>
      <c r="E85" s="12"/>
    </row>
    <row r="86" spans="1:5" x14ac:dyDescent="0.25">
      <c r="A86" s="12" t="s">
        <v>109</v>
      </c>
      <c r="B86">
        <v>1.02E-7</v>
      </c>
      <c r="C86" t="s">
        <v>61</v>
      </c>
      <c r="E86" s="12"/>
    </row>
    <row r="87" spans="1:5" x14ac:dyDescent="0.25">
      <c r="A87" s="12" t="s">
        <v>495</v>
      </c>
      <c r="B87">
        <v>4</v>
      </c>
      <c r="C87" t="s">
        <v>560</v>
      </c>
      <c r="E87" s="12"/>
    </row>
    <row r="88" spans="1:5" x14ac:dyDescent="0.25">
      <c r="A88" s="12" t="s">
        <v>105</v>
      </c>
      <c r="B88">
        <v>1.7600000000000001E-5</v>
      </c>
      <c r="C88" t="s">
        <v>61</v>
      </c>
      <c r="E88" s="12"/>
    </row>
    <row r="89" spans="1:5" x14ac:dyDescent="0.25">
      <c r="A89" s="12" t="s">
        <v>122</v>
      </c>
      <c r="B89">
        <v>4.62E-3</v>
      </c>
      <c r="C89" t="s">
        <v>26</v>
      </c>
      <c r="E89" s="12"/>
    </row>
    <row r="90" spans="1:5" x14ac:dyDescent="0.25">
      <c r="A90" s="12" t="s">
        <v>97</v>
      </c>
      <c r="B90">
        <v>7.5199999999999998E-3</v>
      </c>
      <c r="C90" t="s">
        <v>61</v>
      </c>
      <c r="E90" s="12"/>
    </row>
    <row r="91" spans="1:5" x14ac:dyDescent="0.25">
      <c r="A91" s="12" t="s">
        <v>99</v>
      </c>
      <c r="B91">
        <v>6.2299999999999995E-8</v>
      </c>
      <c r="C91" t="s">
        <v>61</v>
      </c>
      <c r="E91" s="12"/>
    </row>
    <row r="92" spans="1:5" x14ac:dyDescent="0.25">
      <c r="A92" s="12" t="s">
        <v>101</v>
      </c>
      <c r="B92">
        <v>2.2E-13</v>
      </c>
      <c r="C92" t="s">
        <v>61</v>
      </c>
      <c r="E92" s="12"/>
    </row>
    <row r="93" spans="1:5" x14ac:dyDescent="0.25">
      <c r="A93" s="12" t="s">
        <v>289</v>
      </c>
      <c r="B93">
        <v>4.3099999999999998E-7</v>
      </c>
      <c r="C93" t="s">
        <v>61</v>
      </c>
      <c r="E93" s="12"/>
    </row>
    <row r="94" spans="1:5" x14ac:dyDescent="0.25">
      <c r="A94" s="12" t="s">
        <v>291</v>
      </c>
      <c r="B94">
        <v>5.6099999999999999E-11</v>
      </c>
      <c r="C94" t="s">
        <v>61</v>
      </c>
      <c r="E94" s="12"/>
    </row>
    <row r="95" spans="1:5" x14ac:dyDescent="0.25">
      <c r="A95" s="12" t="s">
        <v>561</v>
      </c>
      <c r="B95">
        <v>1650.8</v>
      </c>
      <c r="C95" t="s">
        <v>562</v>
      </c>
      <c r="E95" s="12"/>
    </row>
    <row r="96" spans="1:5" x14ac:dyDescent="0.25">
      <c r="A96" s="12" t="s">
        <v>574</v>
      </c>
      <c r="B96">
        <v>1194.8</v>
      </c>
      <c r="C96" t="s">
        <v>348</v>
      </c>
      <c r="E96" s="12"/>
    </row>
    <row r="97" spans="1:5" x14ac:dyDescent="0.25">
      <c r="A97" s="12" t="s">
        <v>572</v>
      </c>
      <c r="B97">
        <v>9.9415999999999993</v>
      </c>
      <c r="C97" t="s">
        <v>348</v>
      </c>
      <c r="E97" s="12"/>
    </row>
    <row r="98" spans="1:5" x14ac:dyDescent="0.25">
      <c r="A98" s="12" t="s">
        <v>492</v>
      </c>
      <c r="B98">
        <v>0.09</v>
      </c>
      <c r="C98" t="s">
        <v>493</v>
      </c>
      <c r="E98" s="12"/>
    </row>
    <row r="99" spans="1:5" x14ac:dyDescent="0.25">
      <c r="A99" s="12" t="s">
        <v>409</v>
      </c>
      <c r="B99">
        <v>4.0359999999999996</v>
      </c>
      <c r="C99" t="s">
        <v>410</v>
      </c>
      <c r="E99" s="12"/>
    </row>
    <row r="100" spans="1:5" x14ac:dyDescent="0.25">
      <c r="A100" s="12" t="s">
        <v>406</v>
      </c>
      <c r="B100">
        <v>2.7199999999999999E-8</v>
      </c>
      <c r="C100" t="s">
        <v>407</v>
      </c>
      <c r="E100" s="12"/>
    </row>
    <row r="101" spans="1:5" x14ac:dyDescent="0.25">
      <c r="A101" s="12" t="s">
        <v>545</v>
      </c>
      <c r="B101">
        <v>831.51</v>
      </c>
      <c r="C101" t="s">
        <v>546</v>
      </c>
      <c r="E101" s="12"/>
    </row>
    <row r="102" spans="1:5" x14ac:dyDescent="0.25">
      <c r="A102" s="12" t="s">
        <v>443</v>
      </c>
      <c r="B102">
        <v>1.8E-3</v>
      </c>
      <c r="C102" t="s">
        <v>41</v>
      </c>
      <c r="E102" s="12"/>
    </row>
    <row r="103" spans="1:5" x14ac:dyDescent="0.25">
      <c r="A103" s="12" t="s">
        <v>445</v>
      </c>
      <c r="B103">
        <v>1.8E-3</v>
      </c>
      <c r="C103" t="s">
        <v>41</v>
      </c>
      <c r="E103" s="12"/>
    </row>
    <row r="104" spans="1:5" x14ac:dyDescent="0.25">
      <c r="A104" s="12" t="s">
        <v>447</v>
      </c>
      <c r="B104">
        <v>3.0000000000000001E-3</v>
      </c>
      <c r="C104" t="s">
        <v>41</v>
      </c>
      <c r="E104" s="12"/>
    </row>
    <row r="105" spans="1:5" x14ac:dyDescent="0.25">
      <c r="A105" s="12" t="s">
        <v>449</v>
      </c>
      <c r="B105">
        <v>5.0000000000000001E-4</v>
      </c>
      <c r="C105" t="s">
        <v>41</v>
      </c>
      <c r="E105" s="12"/>
    </row>
    <row r="106" spans="1:5" x14ac:dyDescent="0.25">
      <c r="A106" s="12" t="s">
        <v>89</v>
      </c>
      <c r="B106">
        <v>1469</v>
      </c>
      <c r="C106" t="s">
        <v>326</v>
      </c>
      <c r="E106" s="12"/>
    </row>
    <row r="107" spans="1:5" x14ac:dyDescent="0.25">
      <c r="A107" s="12" t="s">
        <v>87</v>
      </c>
      <c r="B107">
        <v>2.5</v>
      </c>
      <c r="C107" t="s">
        <v>326</v>
      </c>
      <c r="E107" s="12"/>
    </row>
    <row r="108" spans="1:5" x14ac:dyDescent="0.25">
      <c r="A108" s="12" t="s">
        <v>577</v>
      </c>
      <c r="B108">
        <v>9.9664000000000001</v>
      </c>
      <c r="C108" t="s">
        <v>348</v>
      </c>
      <c r="E108" s="12"/>
    </row>
    <row r="109" spans="1:5" x14ac:dyDescent="0.25">
      <c r="A109" s="12" t="s">
        <v>451</v>
      </c>
      <c r="B109">
        <v>1E-4</v>
      </c>
      <c r="C109" t="s">
        <v>41</v>
      </c>
      <c r="E109" s="12"/>
    </row>
    <row r="110" spans="1:5" x14ac:dyDescent="0.25">
      <c r="A110" s="12" t="s">
        <v>103</v>
      </c>
      <c r="B110">
        <v>1.7600000000000001E-5</v>
      </c>
      <c r="C110" t="s">
        <v>61</v>
      </c>
      <c r="E110" s="12"/>
    </row>
    <row r="111" spans="1:5" x14ac:dyDescent="0.25">
      <c r="A111" s="12" t="s">
        <v>437</v>
      </c>
      <c r="B111">
        <v>0.04</v>
      </c>
      <c r="C111" t="s">
        <v>41</v>
      </c>
      <c r="E111" s="12"/>
    </row>
    <row r="112" spans="1:5" x14ac:dyDescent="0.25">
      <c r="A112" s="12" t="s">
        <v>439</v>
      </c>
      <c r="B112">
        <v>0.05</v>
      </c>
      <c r="C112" t="s">
        <v>41</v>
      </c>
      <c r="E112" s="12"/>
    </row>
    <row r="113" spans="1:5" x14ac:dyDescent="0.25">
      <c r="A113" s="12" t="s">
        <v>441</v>
      </c>
      <c r="B113">
        <v>0.06</v>
      </c>
      <c r="C113" t="s">
        <v>41</v>
      </c>
      <c r="E113" s="12"/>
    </row>
    <row r="114" spans="1:5" x14ac:dyDescent="0.25">
      <c r="A114" s="12" t="s">
        <v>352</v>
      </c>
      <c r="B114">
        <v>46</v>
      </c>
      <c r="C114" t="s">
        <v>353</v>
      </c>
      <c r="E114" s="12"/>
    </row>
    <row r="115" spans="1:5" x14ac:dyDescent="0.25">
      <c r="A115" s="12" t="s">
        <v>391</v>
      </c>
      <c r="B115">
        <v>46</v>
      </c>
      <c r="C115" t="s">
        <v>353</v>
      </c>
      <c r="E115" s="12"/>
    </row>
    <row r="116" spans="1:5" x14ac:dyDescent="0.25">
      <c r="A116" s="12" t="s">
        <v>385</v>
      </c>
      <c r="B116">
        <v>46</v>
      </c>
      <c r="C116" t="s">
        <v>353</v>
      </c>
      <c r="E116" s="12"/>
    </row>
    <row r="117" spans="1:5" x14ac:dyDescent="0.25">
      <c r="A117" s="12" t="s">
        <v>338</v>
      </c>
      <c r="B117">
        <v>380</v>
      </c>
      <c r="C117" t="s">
        <v>339</v>
      </c>
      <c r="E117" s="12"/>
    </row>
    <row r="118" spans="1:5" x14ac:dyDescent="0.25">
      <c r="A118" s="12" t="s">
        <v>402</v>
      </c>
      <c r="B118">
        <v>46</v>
      </c>
      <c r="C118" t="s">
        <v>353</v>
      </c>
      <c r="E118" s="12"/>
    </row>
    <row r="119" spans="1:5" x14ac:dyDescent="0.25">
      <c r="A119" s="12" t="s">
        <v>111</v>
      </c>
      <c r="B119">
        <v>82</v>
      </c>
      <c r="C119" t="s">
        <v>112</v>
      </c>
      <c r="E119" s="12"/>
    </row>
    <row r="120" spans="1:5" x14ac:dyDescent="0.25">
      <c r="A120" s="12" t="s">
        <v>114</v>
      </c>
      <c r="B120">
        <v>17</v>
      </c>
      <c r="C120" t="s">
        <v>112</v>
      </c>
      <c r="E120" s="12"/>
    </row>
    <row r="121" spans="1:5" x14ac:dyDescent="0.25">
      <c r="A121" s="12" t="s">
        <v>345</v>
      </c>
      <c r="B121">
        <v>1</v>
      </c>
      <c r="C121" t="s">
        <v>1</v>
      </c>
      <c r="E121" s="12"/>
    </row>
    <row r="122" spans="1:5" x14ac:dyDescent="0.25">
      <c r="A122" s="12" t="s">
        <v>246</v>
      </c>
      <c r="B122">
        <v>44</v>
      </c>
      <c r="C122" t="s">
        <v>112</v>
      </c>
      <c r="E122" s="12"/>
    </row>
    <row r="123" spans="1:5" x14ac:dyDescent="0.25">
      <c r="A123" s="12" t="s">
        <v>379</v>
      </c>
      <c r="B123">
        <v>23.5</v>
      </c>
      <c r="C123" t="s">
        <v>1</v>
      </c>
      <c r="E123" s="12"/>
    </row>
    <row r="124" spans="1:5" x14ac:dyDescent="0.25">
      <c r="A124" s="12" t="s">
        <v>341</v>
      </c>
      <c r="B124">
        <v>150</v>
      </c>
      <c r="C124" t="s">
        <v>287</v>
      </c>
      <c r="E124" s="12"/>
    </row>
    <row r="125" spans="1:5" x14ac:dyDescent="0.25">
      <c r="A125" s="12" t="s">
        <v>373</v>
      </c>
      <c r="B125">
        <v>6</v>
      </c>
      <c r="C125" t="s">
        <v>287</v>
      </c>
      <c r="E125" s="12"/>
    </row>
    <row r="126" spans="1:5" x14ac:dyDescent="0.25">
      <c r="A126" s="12" t="s">
        <v>286</v>
      </c>
      <c r="B126">
        <v>1500</v>
      </c>
      <c r="C126" t="s">
        <v>287</v>
      </c>
      <c r="E126" s="12"/>
    </row>
    <row r="127" spans="1:5" x14ac:dyDescent="0.25">
      <c r="A127" s="12" t="s">
        <v>547</v>
      </c>
      <c r="B127">
        <v>0.29946</v>
      </c>
      <c r="C127" t="s">
        <v>1</v>
      </c>
      <c r="E127" s="12"/>
    </row>
    <row r="128" spans="1:5" x14ac:dyDescent="0.25">
      <c r="A128" s="12" t="s">
        <v>244</v>
      </c>
      <c r="B128">
        <v>32</v>
      </c>
      <c r="C128" t="s">
        <v>112</v>
      </c>
      <c r="E128" s="12"/>
    </row>
    <row r="129" spans="1:5" x14ac:dyDescent="0.25">
      <c r="A129" s="12" t="s">
        <v>116</v>
      </c>
      <c r="B129">
        <v>60</v>
      </c>
      <c r="C129" t="s">
        <v>112</v>
      </c>
      <c r="E129" s="12"/>
    </row>
    <row r="130" spans="1:5" x14ac:dyDescent="0.25">
      <c r="A130" s="12" t="s">
        <v>366</v>
      </c>
      <c r="B130">
        <v>1</v>
      </c>
      <c r="C130" t="s">
        <v>1</v>
      </c>
      <c r="E130" s="12"/>
    </row>
    <row r="131" spans="1:5" x14ac:dyDescent="0.25">
      <c r="A131" s="12" t="s">
        <v>412</v>
      </c>
      <c r="B131">
        <v>56</v>
      </c>
      <c r="C131" t="s">
        <v>1</v>
      </c>
      <c r="E131" s="12"/>
    </row>
    <row r="132" spans="1:5" x14ac:dyDescent="0.25">
      <c r="A132" s="12" t="s">
        <v>414</v>
      </c>
      <c r="B132">
        <v>24</v>
      </c>
      <c r="C132" t="s">
        <v>1</v>
      </c>
      <c r="E132" s="12"/>
    </row>
    <row r="133" spans="1:5" x14ac:dyDescent="0.25">
      <c r="A133" s="12" t="s">
        <v>427</v>
      </c>
      <c r="B133">
        <v>0.46</v>
      </c>
      <c r="C133" t="s">
        <v>326</v>
      </c>
      <c r="E133" s="12"/>
    </row>
    <row r="134" spans="1:5" x14ac:dyDescent="0.25">
      <c r="A134" s="12" t="s">
        <v>429</v>
      </c>
      <c r="B134">
        <v>0.35</v>
      </c>
      <c r="C134" t="s">
        <v>326</v>
      </c>
      <c r="E134" s="12"/>
    </row>
    <row r="135" spans="1:5" x14ac:dyDescent="0.25">
      <c r="A135" s="12" t="s">
        <v>431</v>
      </c>
      <c r="B135">
        <v>0.1</v>
      </c>
      <c r="C135" t="s">
        <v>326</v>
      </c>
      <c r="E135" s="12"/>
    </row>
    <row r="136" spans="1:5" x14ac:dyDescent="0.25">
      <c r="A136" s="12" t="s">
        <v>311</v>
      </c>
      <c r="B136">
        <v>1500</v>
      </c>
      <c r="C136" t="s">
        <v>7</v>
      </c>
      <c r="E136" s="12"/>
    </row>
    <row r="137" spans="1:5" x14ac:dyDescent="0.25">
      <c r="A137" s="12" t="s">
        <v>6</v>
      </c>
      <c r="B137">
        <v>0</v>
      </c>
      <c r="C137" t="s">
        <v>7</v>
      </c>
      <c r="E137" s="12"/>
    </row>
    <row r="138" spans="1:5" x14ac:dyDescent="0.25">
      <c r="A138" s="12" t="s">
        <v>543</v>
      </c>
      <c r="E138" s="12"/>
    </row>
    <row r="139" spans="1:5" x14ac:dyDescent="0.25">
      <c r="A139" s="12" t="s">
        <v>49</v>
      </c>
      <c r="B139">
        <v>0</v>
      </c>
      <c r="C139" t="s">
        <v>252</v>
      </c>
      <c r="E139" s="12"/>
    </row>
    <row r="140" spans="1:5" x14ac:dyDescent="0.25">
      <c r="A140" s="12" t="s">
        <v>510</v>
      </c>
      <c r="B140">
        <v>7.5</v>
      </c>
      <c r="C140" t="s">
        <v>26</v>
      </c>
      <c r="E140" s="12"/>
    </row>
    <row r="141" spans="1:5" x14ac:dyDescent="0.25">
      <c r="A141" s="12" t="s">
        <v>95</v>
      </c>
      <c r="B141">
        <v>7.5</v>
      </c>
      <c r="C141" t="s">
        <v>26</v>
      </c>
      <c r="E141" s="12"/>
    </row>
    <row r="142" spans="1:5" x14ac:dyDescent="0.25">
      <c r="A142" s="12" t="s">
        <v>568</v>
      </c>
      <c r="B142">
        <v>2.1208</v>
      </c>
      <c r="C142" t="s">
        <v>26</v>
      </c>
      <c r="E142" s="12"/>
    </row>
    <row r="143" spans="1:5" x14ac:dyDescent="0.25">
      <c r="A143" s="12" t="s">
        <v>506</v>
      </c>
      <c r="B143">
        <v>9</v>
      </c>
      <c r="C143" t="s">
        <v>26</v>
      </c>
      <c r="E143" s="12"/>
    </row>
    <row r="144" spans="1:5" x14ac:dyDescent="0.25">
      <c r="A144" s="12" t="s">
        <v>504</v>
      </c>
      <c r="B144">
        <v>4</v>
      </c>
      <c r="C144" t="s">
        <v>26</v>
      </c>
      <c r="E144" s="12"/>
    </row>
    <row r="145" spans="1:5" x14ac:dyDescent="0.25">
      <c r="A145" s="12" t="s">
        <v>508</v>
      </c>
      <c r="B145">
        <v>6.8</v>
      </c>
      <c r="C145" t="s">
        <v>26</v>
      </c>
      <c r="E145" s="12"/>
    </row>
    <row r="146" spans="1:5" x14ac:dyDescent="0.25">
      <c r="A146" s="12" t="s">
        <v>370</v>
      </c>
      <c r="B146">
        <v>2000</v>
      </c>
      <c r="C146" t="s">
        <v>371</v>
      </c>
      <c r="E146" s="12"/>
    </row>
    <row r="147" spans="1:5" x14ac:dyDescent="0.25">
      <c r="A147" s="12" t="s">
        <v>251</v>
      </c>
      <c r="B147">
        <v>101300</v>
      </c>
      <c r="C147" t="s">
        <v>252</v>
      </c>
      <c r="E147" s="12"/>
    </row>
    <row r="148" spans="1:5" x14ac:dyDescent="0.25">
      <c r="A148" s="12" t="s">
        <v>526</v>
      </c>
      <c r="B148">
        <v>100</v>
      </c>
      <c r="C148" t="s">
        <v>4</v>
      </c>
      <c r="E148" s="12"/>
    </row>
    <row r="149" spans="1:5" x14ac:dyDescent="0.25">
      <c r="A149" s="12" t="s">
        <v>487</v>
      </c>
      <c r="B149">
        <v>0.1</v>
      </c>
      <c r="C149" t="s">
        <v>559</v>
      </c>
      <c r="E149" s="12"/>
    </row>
    <row r="150" spans="1:5" x14ac:dyDescent="0.25">
      <c r="A150" s="12" t="s">
        <v>550</v>
      </c>
      <c r="B150">
        <v>649.83000000000004</v>
      </c>
      <c r="C150" t="s">
        <v>551</v>
      </c>
      <c r="E150" s="12"/>
    </row>
    <row r="151" spans="1:5" x14ac:dyDescent="0.25">
      <c r="A151" s="12" t="s">
        <v>433</v>
      </c>
      <c r="B151">
        <v>1.9300000000000001E-2</v>
      </c>
      <c r="C151" t="s">
        <v>326</v>
      </c>
      <c r="E151" s="12"/>
    </row>
    <row r="152" spans="1:5" x14ac:dyDescent="0.25">
      <c r="A152" s="12" t="s">
        <v>435</v>
      </c>
      <c r="B152">
        <v>6.1100000000000002E-2</v>
      </c>
      <c r="C152" t="s">
        <v>326</v>
      </c>
      <c r="E152" s="12"/>
    </row>
    <row r="153" spans="1:5" x14ac:dyDescent="0.25">
      <c r="A153" s="12" t="s">
        <v>254</v>
      </c>
      <c r="B153">
        <v>8314</v>
      </c>
      <c r="C153" t="s">
        <v>552</v>
      </c>
      <c r="E153" s="12"/>
    </row>
    <row r="154" spans="1:5" x14ac:dyDescent="0.25">
      <c r="A154" s="12" t="s">
        <v>361</v>
      </c>
      <c r="B154">
        <v>1.6831</v>
      </c>
      <c r="C154" t="s">
        <v>362</v>
      </c>
      <c r="E154" s="12"/>
    </row>
    <row r="155" spans="1:5" x14ac:dyDescent="0.25">
      <c r="A155" s="12" t="s">
        <v>364</v>
      </c>
      <c r="B155">
        <v>998.2</v>
      </c>
      <c r="C155" t="s">
        <v>362</v>
      </c>
      <c r="E155" s="12"/>
    </row>
    <row r="156" spans="1:5" x14ac:dyDescent="0.25">
      <c r="A156" s="12" t="s">
        <v>395</v>
      </c>
      <c r="B156">
        <v>1</v>
      </c>
      <c r="C156" t="s">
        <v>396</v>
      </c>
      <c r="E156" s="12"/>
    </row>
    <row r="157" spans="1:5" x14ac:dyDescent="0.25">
      <c r="A157" s="12" t="s">
        <v>544</v>
      </c>
      <c r="B157">
        <v>0</v>
      </c>
      <c r="C157" t="s">
        <v>41</v>
      </c>
      <c r="E157" s="12"/>
    </row>
    <row r="158" spans="1:5" x14ac:dyDescent="0.25">
      <c r="A158" s="12" t="s">
        <v>564</v>
      </c>
      <c r="B158">
        <v>5.7127000000000002E-4</v>
      </c>
      <c r="C158" t="s">
        <v>565</v>
      </c>
      <c r="E158" s="12"/>
    </row>
    <row r="159" spans="1:5" x14ac:dyDescent="0.25">
      <c r="A159" s="12" t="s">
        <v>563</v>
      </c>
      <c r="B159">
        <v>1.4138E-3</v>
      </c>
      <c r="C159" t="s">
        <v>35</v>
      </c>
      <c r="E159" s="12"/>
    </row>
    <row r="160" spans="1:5" x14ac:dyDescent="0.25">
      <c r="A160" s="12" t="s">
        <v>576</v>
      </c>
      <c r="B160">
        <v>9.7493000000000007E-3</v>
      </c>
      <c r="C160" t="s">
        <v>35</v>
      </c>
      <c r="E160" s="12"/>
    </row>
    <row r="161" spans="1:5" x14ac:dyDescent="0.25">
      <c r="A161" s="12" t="s">
        <v>575</v>
      </c>
      <c r="B161">
        <v>2.6078E-2</v>
      </c>
      <c r="C161" t="s">
        <v>35</v>
      </c>
      <c r="E161" s="12"/>
    </row>
    <row r="162" spans="1:5" x14ac:dyDescent="0.25">
      <c r="A162" s="12" t="s">
        <v>573</v>
      </c>
      <c r="B162">
        <v>2.5297000000000001</v>
      </c>
      <c r="C162" t="s">
        <v>35</v>
      </c>
      <c r="E162" s="12"/>
    </row>
    <row r="163" spans="1:5" x14ac:dyDescent="0.25">
      <c r="A163" s="12" t="s">
        <v>490</v>
      </c>
      <c r="B163">
        <v>1.2500000000000001E-2</v>
      </c>
      <c r="C163" t="s">
        <v>35</v>
      </c>
      <c r="E163" s="12"/>
    </row>
    <row r="164" spans="1:5" x14ac:dyDescent="0.25">
      <c r="A164" s="12" t="s">
        <v>567</v>
      </c>
      <c r="B164">
        <v>1.4138E-3</v>
      </c>
      <c r="C164" t="s">
        <v>35</v>
      </c>
      <c r="E164" s="12"/>
    </row>
    <row r="165" spans="1:5" x14ac:dyDescent="0.25">
      <c r="A165" s="12" t="s">
        <v>343</v>
      </c>
      <c r="B165">
        <v>15</v>
      </c>
      <c r="C165" t="s">
        <v>541</v>
      </c>
      <c r="E165" s="12"/>
    </row>
    <row r="166" spans="1:5" x14ac:dyDescent="0.25">
      <c r="A166" s="12" t="s">
        <v>540</v>
      </c>
      <c r="B166">
        <v>32</v>
      </c>
      <c r="C166" t="s">
        <v>541</v>
      </c>
      <c r="E166" s="12"/>
    </row>
    <row r="167" spans="1:5" x14ac:dyDescent="0.25">
      <c r="A167" s="12" t="s">
        <v>375</v>
      </c>
      <c r="B167">
        <v>134</v>
      </c>
      <c r="C167" t="s">
        <v>541</v>
      </c>
      <c r="E167" s="12"/>
    </row>
    <row r="168" spans="1:5" x14ac:dyDescent="0.25">
      <c r="A168" s="12" t="s">
        <v>542</v>
      </c>
      <c r="B168">
        <v>32</v>
      </c>
      <c r="C168" t="s">
        <v>541</v>
      </c>
      <c r="E168" s="12"/>
    </row>
    <row r="169" spans="1:5" x14ac:dyDescent="0.25">
      <c r="A169" s="12" t="s">
        <v>481</v>
      </c>
      <c r="B169">
        <v>47</v>
      </c>
      <c r="C169" t="s">
        <v>541</v>
      </c>
      <c r="E169" s="12"/>
    </row>
    <row r="170" spans="1:5" x14ac:dyDescent="0.25">
      <c r="A170" s="12" t="s">
        <v>479</v>
      </c>
      <c r="B170">
        <v>5</v>
      </c>
      <c r="C170" t="s">
        <v>541</v>
      </c>
      <c r="E170" s="12"/>
    </row>
    <row r="171" spans="1:5" x14ac:dyDescent="0.25">
      <c r="A171" s="12" t="s">
        <v>483</v>
      </c>
      <c r="B171">
        <v>35</v>
      </c>
      <c r="C171" t="s">
        <v>541</v>
      </c>
      <c r="E171" s="12"/>
    </row>
    <row r="172" spans="1:5" x14ac:dyDescent="0.25">
      <c r="A172" s="12" t="s">
        <v>419</v>
      </c>
      <c r="B172">
        <v>25</v>
      </c>
      <c r="C172" t="s">
        <v>541</v>
      </c>
      <c r="E172" s="12"/>
    </row>
    <row r="173" spans="1:5" x14ac:dyDescent="0.25">
      <c r="A173" s="12" t="s">
        <v>319</v>
      </c>
      <c r="B173">
        <v>4.1999999999999997E-3</v>
      </c>
      <c r="C173" t="s">
        <v>35</v>
      </c>
      <c r="E173" s="12"/>
    </row>
    <row r="174" spans="1:5" x14ac:dyDescent="0.25">
      <c r="A174" s="12" t="s">
        <v>313</v>
      </c>
      <c r="B174">
        <v>2.5000000000000001E-3</v>
      </c>
      <c r="C174" t="s">
        <v>35</v>
      </c>
      <c r="E174" s="12"/>
    </row>
    <row r="175" spans="1:5" x14ac:dyDescent="0.25">
      <c r="A175" s="12" t="s">
        <v>317</v>
      </c>
      <c r="B175">
        <v>4.1999999999999997E-3</v>
      </c>
      <c r="C175" t="s">
        <v>35</v>
      </c>
      <c r="E175" s="12"/>
    </row>
    <row r="176" spans="1:5" x14ac:dyDescent="0.25">
      <c r="A176" s="12" t="s">
        <v>315</v>
      </c>
      <c r="B176">
        <v>4.1999999999999997E-3</v>
      </c>
      <c r="C176" t="s">
        <v>35</v>
      </c>
      <c r="E176" s="12"/>
    </row>
    <row r="177" spans="1:5" x14ac:dyDescent="0.25">
      <c r="A177" s="12" t="s">
        <v>248</v>
      </c>
      <c r="B177">
        <v>273.14999999999998</v>
      </c>
      <c r="C177" t="s">
        <v>249</v>
      </c>
      <c r="E177" s="12"/>
    </row>
    <row r="178" spans="1:5" x14ac:dyDescent="0.25">
      <c r="A178" s="12" t="s">
        <v>502</v>
      </c>
      <c r="B178">
        <v>8.3330000000000003E-5</v>
      </c>
      <c r="C178" t="s">
        <v>35</v>
      </c>
      <c r="E178" s="12"/>
    </row>
    <row r="179" spans="1:5" x14ac:dyDescent="0.25">
      <c r="A179" s="12" t="s">
        <v>498</v>
      </c>
      <c r="B179">
        <v>0.97499999999999998</v>
      </c>
      <c r="C179" t="s">
        <v>26</v>
      </c>
      <c r="E179" s="12"/>
    </row>
    <row r="180" spans="1:5" x14ac:dyDescent="0.25">
      <c r="A180" s="12" t="s">
        <v>358</v>
      </c>
      <c r="B180">
        <v>2.9999999999999997E-4</v>
      </c>
      <c r="C180" t="s">
        <v>359</v>
      </c>
      <c r="E180" s="12"/>
    </row>
    <row r="181" spans="1:5" x14ac:dyDescent="0.25">
      <c r="A181" s="12" t="s">
        <v>534</v>
      </c>
      <c r="B181">
        <v>5.5</v>
      </c>
      <c r="C181" t="s">
        <v>38</v>
      </c>
      <c r="E181" s="12"/>
    </row>
    <row r="182" spans="1:5" x14ac:dyDescent="0.25">
      <c r="A182" s="12" t="s">
        <v>37</v>
      </c>
      <c r="B182">
        <v>5.5</v>
      </c>
      <c r="C182" t="s">
        <v>38</v>
      </c>
      <c r="E182" s="12"/>
    </row>
    <row r="183" spans="1:5" x14ac:dyDescent="0.25">
      <c r="A183" s="12" t="s">
        <v>579</v>
      </c>
      <c r="B183">
        <v>5</v>
      </c>
      <c r="C183" t="s">
        <v>38</v>
      </c>
      <c r="E183" s="12"/>
    </row>
    <row r="184" spans="1:5" x14ac:dyDescent="0.25">
      <c r="A184" s="12" t="s">
        <v>241</v>
      </c>
      <c r="B184">
        <v>22.411999999999999</v>
      </c>
      <c r="C184" t="s">
        <v>242</v>
      </c>
      <c r="E184" s="12"/>
    </row>
    <row r="185" spans="1:5" x14ac:dyDescent="0.25">
      <c r="A185" s="12" t="s">
        <v>535</v>
      </c>
      <c r="B185">
        <v>5</v>
      </c>
      <c r="C185" t="s">
        <v>38</v>
      </c>
      <c r="E185" s="12"/>
    </row>
    <row r="186" spans="1:5" x14ac:dyDescent="0.25">
      <c r="A186" s="12" t="s">
        <v>63</v>
      </c>
      <c r="B186">
        <v>5</v>
      </c>
      <c r="C186" t="s">
        <v>38</v>
      </c>
      <c r="E186" s="12"/>
    </row>
    <row r="187" spans="1:5" x14ac:dyDescent="0.25">
      <c r="A187" s="12" t="s">
        <v>537</v>
      </c>
      <c r="B187">
        <v>1</v>
      </c>
      <c r="C187" t="s">
        <v>38</v>
      </c>
      <c r="E187" s="12"/>
    </row>
    <row r="188" spans="1:5" x14ac:dyDescent="0.25">
      <c r="A188" s="12" t="s">
        <v>118</v>
      </c>
      <c r="B188">
        <v>1</v>
      </c>
      <c r="C188" t="s">
        <v>38</v>
      </c>
      <c r="E188" s="12"/>
    </row>
    <row r="189" spans="1:5" x14ac:dyDescent="0.25">
      <c r="A189" s="12" t="s">
        <v>536</v>
      </c>
      <c r="B189">
        <v>1</v>
      </c>
      <c r="C189" t="s">
        <v>38</v>
      </c>
      <c r="E189" s="12"/>
    </row>
    <row r="190" spans="1:5" x14ac:dyDescent="0.25">
      <c r="A190" s="12" t="s">
        <v>120</v>
      </c>
      <c r="B190">
        <v>1</v>
      </c>
      <c r="C190" t="s">
        <v>38</v>
      </c>
      <c r="E190" s="12"/>
    </row>
    <row r="191" spans="1:5" x14ac:dyDescent="0.25">
      <c r="A191" s="12" t="s">
        <v>230</v>
      </c>
      <c r="B191">
        <v>2.9999999999999997E-4</v>
      </c>
      <c r="C191" t="s">
        <v>26</v>
      </c>
      <c r="E191" s="12"/>
    </row>
    <row r="192" spans="1:5" x14ac:dyDescent="0.25">
      <c r="A192" s="12" t="s">
        <v>528</v>
      </c>
      <c r="B192">
        <v>0.03</v>
      </c>
      <c r="C192" t="s">
        <v>4</v>
      </c>
      <c r="E192" s="12"/>
    </row>
    <row r="193" spans="1:5" x14ac:dyDescent="0.25">
      <c r="A193" s="12" t="s">
        <v>527</v>
      </c>
      <c r="B193">
        <v>20.94</v>
      </c>
      <c r="C193" t="s">
        <v>4</v>
      </c>
      <c r="E193" s="12"/>
    </row>
    <row r="194" spans="1:5" x14ac:dyDescent="0.25">
      <c r="A194" s="12" t="s">
        <v>228</v>
      </c>
      <c r="B194">
        <v>0.2094</v>
      </c>
      <c r="C194" t="s">
        <v>26</v>
      </c>
      <c r="E194" s="12"/>
    </row>
    <row r="195" spans="1:5" x14ac:dyDescent="0.25">
      <c r="A195" s="12" t="s">
        <v>52</v>
      </c>
      <c r="B195">
        <v>0</v>
      </c>
      <c r="C195" t="s">
        <v>26</v>
      </c>
      <c r="E195" s="12"/>
    </row>
    <row r="196" spans="1:5" x14ac:dyDescent="0.25">
      <c r="A196" s="12" t="s">
        <v>469</v>
      </c>
      <c r="B196">
        <v>0</v>
      </c>
      <c r="C196" t="s">
        <v>26</v>
      </c>
      <c r="E196" s="12"/>
    </row>
    <row r="197" spans="1:5" x14ac:dyDescent="0.25">
      <c r="A197" s="12" t="s">
        <v>467</v>
      </c>
      <c r="B197">
        <v>0.185</v>
      </c>
      <c r="C197" t="s">
        <v>26</v>
      </c>
      <c r="E197" s="12"/>
    </row>
    <row r="198" spans="1:5" x14ac:dyDescent="0.25">
      <c r="A198" s="12" t="s">
        <v>471</v>
      </c>
      <c r="B198">
        <v>1.375</v>
      </c>
      <c r="C198" t="s">
        <v>578</v>
      </c>
      <c r="E198" s="12"/>
    </row>
    <row r="199" spans="1:5" x14ac:dyDescent="0.25">
      <c r="A199" s="12" t="s">
        <v>461</v>
      </c>
      <c r="B199">
        <v>0.2</v>
      </c>
      <c r="C199" t="s">
        <v>26</v>
      </c>
      <c r="E199" s="12"/>
    </row>
    <row r="200" spans="1:5" x14ac:dyDescent="0.25">
      <c r="A200" s="12" t="s">
        <v>463</v>
      </c>
      <c r="B200">
        <v>0.1</v>
      </c>
      <c r="C200" t="s">
        <v>26</v>
      </c>
      <c r="E200" s="12"/>
    </row>
    <row r="201" spans="1:5" x14ac:dyDescent="0.25">
      <c r="A201" s="12" t="s">
        <v>465</v>
      </c>
      <c r="B201">
        <v>1</v>
      </c>
      <c r="C201" t="s">
        <v>26</v>
      </c>
      <c r="E201" s="12"/>
    </row>
    <row r="202" spans="1:5" x14ac:dyDescent="0.25">
      <c r="A202" s="12" t="s">
        <v>459</v>
      </c>
      <c r="B202">
        <v>1.5840000000000001</v>
      </c>
      <c r="C202" t="s">
        <v>26</v>
      </c>
      <c r="E202" s="12"/>
    </row>
    <row r="203" spans="1:5" x14ac:dyDescent="0.25">
      <c r="A203" s="12" t="s">
        <v>453</v>
      </c>
      <c r="B203">
        <v>0.55300000000000005</v>
      </c>
      <c r="C203" t="s">
        <v>26</v>
      </c>
      <c r="E203" s="12"/>
    </row>
    <row r="204" spans="1:5" x14ac:dyDescent="0.25">
      <c r="A204" s="12" t="s">
        <v>455</v>
      </c>
      <c r="B204">
        <v>0.4</v>
      </c>
      <c r="C204" t="s">
        <v>26</v>
      </c>
      <c r="E204" s="12"/>
    </row>
    <row r="205" spans="1:5" x14ac:dyDescent="0.25">
      <c r="A205" s="12" t="s">
        <v>457</v>
      </c>
      <c r="B205">
        <v>0.2</v>
      </c>
      <c r="C205" t="s">
        <v>26</v>
      </c>
      <c r="E205" s="12"/>
    </row>
  </sheetData>
  <sortState xmlns:xlrd2="http://schemas.microsoft.com/office/spreadsheetml/2017/richdata2" ref="E1:G206">
    <sortCondition ref="E1:E206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B6E6-D7E3-4545-BB2A-6528F946745E}">
  <dimension ref="A1:X325"/>
  <sheetViews>
    <sheetView topLeftCell="A296" zoomScaleNormal="100" workbookViewId="0">
      <selection activeCell="G333" sqref="G333"/>
    </sheetView>
  </sheetViews>
  <sheetFormatPr defaultColWidth="11.42578125" defaultRowHeight="15" x14ac:dyDescent="0.25"/>
  <cols>
    <col min="2" max="2" width="9.42578125" customWidth="1"/>
    <col min="3" max="3" width="8.7109375" customWidth="1"/>
    <col min="4" max="4" width="11" customWidth="1"/>
    <col min="6" max="6" width="10.85546875" customWidth="1"/>
    <col min="7" max="7" width="11.42578125" customWidth="1"/>
    <col min="8" max="8" width="11.140625" customWidth="1"/>
    <col min="9" max="9" width="16.7109375" customWidth="1"/>
    <col min="11" max="11" width="12.85546875" customWidth="1"/>
    <col min="12" max="12" width="11.85546875" customWidth="1"/>
    <col min="13" max="13" width="31.7109375" customWidth="1"/>
  </cols>
  <sheetData>
    <row r="1" spans="1:24" x14ac:dyDescent="0.25">
      <c r="A1" s="24" t="s">
        <v>1054</v>
      </c>
      <c r="B1" s="24"/>
      <c r="C1" s="24"/>
      <c r="D1" s="24"/>
      <c r="E1" s="24"/>
      <c r="F1" s="24" t="s">
        <v>1055</v>
      </c>
      <c r="G1" s="24"/>
    </row>
    <row r="2" spans="1:24" x14ac:dyDescent="0.25">
      <c r="A2" t="s">
        <v>835</v>
      </c>
      <c r="B2" t="s">
        <v>831</v>
      </c>
      <c r="C2" t="s">
        <v>828</v>
      </c>
      <c r="D2" t="s">
        <v>829</v>
      </c>
      <c r="E2" t="s">
        <v>832</v>
      </c>
      <c r="F2" t="s">
        <v>990</v>
      </c>
      <c r="G2" t="s">
        <v>1051</v>
      </c>
      <c r="H2" t="s">
        <v>1518</v>
      </c>
      <c r="I2" t="s">
        <v>1519</v>
      </c>
      <c r="J2" t="s">
        <v>1088</v>
      </c>
      <c r="K2" t="s">
        <v>1521</v>
      </c>
      <c r="L2" t="s">
        <v>1058</v>
      </c>
      <c r="M2" t="s">
        <v>1059</v>
      </c>
      <c r="N2" t="s">
        <v>998</v>
      </c>
      <c r="O2" t="s">
        <v>1087</v>
      </c>
      <c r="P2" t="s">
        <v>1520</v>
      </c>
      <c r="Q2" t="s">
        <v>1056</v>
      </c>
      <c r="R2" t="s">
        <v>1057</v>
      </c>
      <c r="S2" t="s">
        <v>934</v>
      </c>
      <c r="T2" t="s">
        <v>1457</v>
      </c>
      <c r="U2" t="s">
        <v>1486</v>
      </c>
      <c r="V2" t="s">
        <v>1487</v>
      </c>
      <c r="W2" t="s">
        <v>1488</v>
      </c>
      <c r="X2" t="s">
        <v>1489</v>
      </c>
    </row>
    <row r="3" spans="1:24" x14ac:dyDescent="0.25">
      <c r="A3">
        <v>1</v>
      </c>
      <c r="B3">
        <v>1</v>
      </c>
      <c r="C3" t="s">
        <v>6</v>
      </c>
      <c r="D3" t="s">
        <v>584</v>
      </c>
      <c r="E3" t="s">
        <v>7</v>
      </c>
      <c r="F3" s="14" t="s">
        <v>1490</v>
      </c>
      <c r="G3" t="s">
        <v>1052</v>
      </c>
      <c r="H3" s="23">
        <v>1</v>
      </c>
      <c r="I3" s="14" t="str">
        <f>TEXT(Tabelle2[[#This Row],[category]],"00")&amp;TEXT(Tabelle2[[#This Row],[internal_order]],"00")</f>
        <v>0101</v>
      </c>
      <c r="J3" s="15">
        <v>2</v>
      </c>
      <c r="K3" s="15">
        <f>Tabelle2[[#This Row],[propertyID]]</f>
        <v>1</v>
      </c>
      <c r="L3" s="15">
        <v>400</v>
      </c>
      <c r="M3" s="15" t="s">
        <v>8</v>
      </c>
      <c r="O3" s="14">
        <v>1</v>
      </c>
      <c r="P3" s="14">
        <f>Tabelle2[[#This Row],[propertyID]]</f>
        <v>1</v>
      </c>
      <c r="Q3" s="14">
        <v>400</v>
      </c>
      <c r="R3" s="14" t="s">
        <v>8</v>
      </c>
      <c r="S3" t="s">
        <v>935</v>
      </c>
      <c r="T3" s="14"/>
      <c r="U3" s="14">
        <v>0</v>
      </c>
      <c r="V3" s="14"/>
      <c r="W3" s="14">
        <v>0</v>
      </c>
      <c r="X3" s="14"/>
    </row>
    <row r="4" spans="1:24" x14ac:dyDescent="0.25">
      <c r="A4">
        <v>2</v>
      </c>
      <c r="B4">
        <v>1</v>
      </c>
      <c r="C4" t="s">
        <v>25</v>
      </c>
      <c r="D4" t="s">
        <v>591</v>
      </c>
      <c r="E4" t="s">
        <v>26</v>
      </c>
      <c r="F4" s="14" t="s">
        <v>26</v>
      </c>
      <c r="G4" t="s">
        <v>1052</v>
      </c>
      <c r="H4" s="23">
        <v>2</v>
      </c>
      <c r="I4" s="14" t="str">
        <f>TEXT(Tabelle2[[#This Row],[category]],"00")&amp;TEXT(Tabelle2[[#This Row],[internal_order]],"00")</f>
        <v>0102</v>
      </c>
      <c r="J4" s="15">
        <v>2</v>
      </c>
      <c r="K4" s="15">
        <f>Tabelle2[[#This Row],[propertyID]]</f>
        <v>2</v>
      </c>
      <c r="L4" s="15">
        <v>4.8</v>
      </c>
      <c r="M4" s="15" t="s">
        <v>27</v>
      </c>
      <c r="N4" t="s">
        <v>1302</v>
      </c>
      <c r="O4" s="14">
        <v>1</v>
      </c>
      <c r="P4" s="14">
        <f>Tabelle2[[#This Row],[propertyID]]</f>
        <v>2</v>
      </c>
      <c r="Q4" s="14">
        <v>6.7</v>
      </c>
      <c r="R4" s="14" t="s">
        <v>27</v>
      </c>
      <c r="S4" t="s">
        <v>935</v>
      </c>
      <c r="T4" s="14"/>
      <c r="U4" s="14">
        <v>0</v>
      </c>
      <c r="V4" s="14"/>
      <c r="W4" s="14">
        <v>0</v>
      </c>
      <c r="X4" s="14">
        <v>14</v>
      </c>
    </row>
    <row r="5" spans="1:24" x14ac:dyDescent="0.25">
      <c r="A5">
        <v>3</v>
      </c>
      <c r="B5">
        <v>1</v>
      </c>
      <c r="C5" t="s">
        <v>23</v>
      </c>
      <c r="D5" t="s">
        <v>704</v>
      </c>
      <c r="E5" t="s">
        <v>4</v>
      </c>
      <c r="F5" s="14" t="s">
        <v>4</v>
      </c>
      <c r="G5" t="s">
        <v>1052</v>
      </c>
      <c r="H5" s="23">
        <v>3</v>
      </c>
      <c r="I5" s="14" t="str">
        <f>TEXT(Tabelle2[[#This Row],[category]],"00")&amp;TEXT(Tabelle2[[#This Row],[internal_order]],"00")</f>
        <v>0103</v>
      </c>
      <c r="J5" s="15">
        <v>2</v>
      </c>
      <c r="K5" s="15">
        <f>Tabelle2[[#This Row],[propertyID]]</f>
        <v>3</v>
      </c>
      <c r="L5" s="15">
        <v>20</v>
      </c>
      <c r="M5" s="15" t="s">
        <v>24</v>
      </c>
      <c r="O5" s="14">
        <v>1</v>
      </c>
      <c r="P5" s="14">
        <f>Tabelle2[[#This Row],[propertyID]]</f>
        <v>3</v>
      </c>
      <c r="Q5" s="14">
        <v>20</v>
      </c>
      <c r="R5" s="14" t="s">
        <v>24</v>
      </c>
      <c r="S5" t="s">
        <v>935</v>
      </c>
      <c r="T5" s="14"/>
      <c r="U5" s="14">
        <v>0</v>
      </c>
      <c r="V5" s="14"/>
      <c r="W5" s="14">
        <v>0</v>
      </c>
      <c r="X5" s="14"/>
    </row>
    <row r="6" spans="1:24" x14ac:dyDescent="0.25">
      <c r="A6">
        <v>4</v>
      </c>
      <c r="B6">
        <v>1</v>
      </c>
      <c r="C6" t="s">
        <v>28</v>
      </c>
      <c r="D6" t="s">
        <v>592</v>
      </c>
      <c r="E6" t="s">
        <v>29</v>
      </c>
      <c r="F6" s="14" t="s">
        <v>29</v>
      </c>
      <c r="G6" t="s">
        <v>1052</v>
      </c>
      <c r="H6" s="23">
        <v>4</v>
      </c>
      <c r="I6" s="14" t="str">
        <f>TEXT(Tabelle2[[#This Row],[category]],"00")&amp;TEXT(Tabelle2[[#This Row],[internal_order]],"00")</f>
        <v>0104</v>
      </c>
      <c r="J6" s="15">
        <v>2</v>
      </c>
      <c r="K6" s="15">
        <f>Tabelle2[[#This Row],[propertyID]]</f>
        <v>4</v>
      </c>
      <c r="L6" s="15">
        <v>30</v>
      </c>
      <c r="M6" s="15" t="s">
        <v>30</v>
      </c>
      <c r="O6" s="14">
        <v>1</v>
      </c>
      <c r="P6" s="14">
        <f>Tabelle2[[#This Row],[propertyID]]</f>
        <v>4</v>
      </c>
      <c r="Q6" s="14">
        <v>32</v>
      </c>
      <c r="R6" s="14" t="s">
        <v>30</v>
      </c>
      <c r="S6" t="s">
        <v>935</v>
      </c>
      <c r="T6" s="14"/>
      <c r="U6" s="14">
        <v>12</v>
      </c>
      <c r="V6" s="14"/>
      <c r="W6" s="14">
        <v>0</v>
      </c>
      <c r="X6" s="14"/>
    </row>
    <row r="7" spans="1:24" x14ac:dyDescent="0.25">
      <c r="A7">
        <v>5</v>
      </c>
      <c r="B7">
        <v>1</v>
      </c>
      <c r="C7" t="s">
        <v>0</v>
      </c>
      <c r="D7" t="s">
        <v>582</v>
      </c>
      <c r="E7" t="s">
        <v>1</v>
      </c>
      <c r="F7" s="14" t="s">
        <v>1</v>
      </c>
      <c r="G7" t="s">
        <v>1052</v>
      </c>
      <c r="H7" s="23">
        <v>5</v>
      </c>
      <c r="I7" s="14" t="str">
        <f>TEXT(Tabelle2[[#This Row],[category]],"00")&amp;TEXT(Tabelle2[[#This Row],[internal_order]],"00")</f>
        <v>0105</v>
      </c>
      <c r="J7" s="15">
        <v>2</v>
      </c>
      <c r="K7" s="15">
        <f>Tabelle2[[#This Row],[propertyID]]</f>
        <v>5</v>
      </c>
      <c r="L7" s="15">
        <v>14</v>
      </c>
      <c r="M7" s="15" t="s">
        <v>2</v>
      </c>
      <c r="O7" s="14">
        <v>1</v>
      </c>
      <c r="P7" s="14">
        <f>Tabelle2[[#This Row],[propertyID]]</f>
        <v>5</v>
      </c>
      <c r="Q7" s="14">
        <v>14</v>
      </c>
      <c r="R7" s="14" t="s">
        <v>2</v>
      </c>
      <c r="S7" t="s">
        <v>935</v>
      </c>
      <c r="T7" s="14"/>
      <c r="U7" s="14">
        <v>0</v>
      </c>
      <c r="V7" s="14"/>
      <c r="W7" s="14">
        <v>0</v>
      </c>
      <c r="X7" s="14"/>
    </row>
    <row r="8" spans="1:24" x14ac:dyDescent="0.25">
      <c r="A8">
        <v>6</v>
      </c>
      <c r="B8">
        <v>1</v>
      </c>
      <c r="C8" t="s">
        <v>18</v>
      </c>
      <c r="D8" t="s">
        <v>589</v>
      </c>
      <c r="E8" t="s">
        <v>10</v>
      </c>
      <c r="F8" s="14" t="s">
        <v>925</v>
      </c>
      <c r="G8" t="s">
        <v>1052</v>
      </c>
      <c r="H8" s="23">
        <v>6</v>
      </c>
      <c r="I8" s="14" t="str">
        <f>TEXT(Tabelle2[[#This Row],[category]],"00")&amp;TEXT(Tabelle2[[#This Row],[internal_order]],"00")</f>
        <v>0106</v>
      </c>
      <c r="J8" s="15">
        <v>2</v>
      </c>
      <c r="K8" s="15">
        <f>Tabelle2[[#This Row],[propertyID]]</f>
        <v>6</v>
      </c>
      <c r="L8" s="15">
        <v>6</v>
      </c>
      <c r="M8" s="15" t="s">
        <v>19</v>
      </c>
      <c r="O8" s="14">
        <v>1</v>
      </c>
      <c r="P8" s="14">
        <f>Tabelle2[[#This Row],[propertyID]]</f>
        <v>6</v>
      </c>
      <c r="Q8" s="14">
        <v>6</v>
      </c>
      <c r="R8" s="14" t="s">
        <v>19</v>
      </c>
      <c r="S8" t="s">
        <v>935</v>
      </c>
      <c r="T8" s="14"/>
      <c r="U8" s="14">
        <v>0</v>
      </c>
      <c r="V8" s="14"/>
      <c r="W8" s="14">
        <v>0</v>
      </c>
      <c r="X8" s="14"/>
    </row>
    <row r="9" spans="1:24" x14ac:dyDescent="0.25">
      <c r="A9">
        <v>7</v>
      </c>
      <c r="B9">
        <v>1</v>
      </c>
      <c r="C9" t="s">
        <v>9</v>
      </c>
      <c r="D9" t="s">
        <v>585</v>
      </c>
      <c r="E9" t="s">
        <v>10</v>
      </c>
      <c r="F9" s="14" t="s">
        <v>925</v>
      </c>
      <c r="G9" t="s">
        <v>1052</v>
      </c>
      <c r="H9" s="23">
        <v>7</v>
      </c>
      <c r="I9" s="14" t="str">
        <f>TEXT(Tabelle2[[#This Row],[category]],"00")&amp;TEXT(Tabelle2[[#This Row],[internal_order]],"00")</f>
        <v>0107</v>
      </c>
      <c r="J9" s="15">
        <v>2</v>
      </c>
      <c r="K9" s="15">
        <f>Tabelle2[[#This Row],[propertyID]]</f>
        <v>7</v>
      </c>
      <c r="L9" s="15">
        <v>7.5</v>
      </c>
      <c r="M9" s="15" t="s">
        <v>11</v>
      </c>
      <c r="O9" s="14">
        <v>1</v>
      </c>
      <c r="P9" s="14">
        <f>Tabelle2[[#This Row],[propertyID]]</f>
        <v>7</v>
      </c>
      <c r="Q9" s="14">
        <v>7.5</v>
      </c>
      <c r="R9" s="14" t="s">
        <v>11</v>
      </c>
      <c r="S9" t="s">
        <v>935</v>
      </c>
      <c r="T9" s="14"/>
      <c r="U9" s="14">
        <v>0</v>
      </c>
      <c r="V9" s="14"/>
      <c r="W9" s="14">
        <v>0</v>
      </c>
      <c r="X9" s="14"/>
    </row>
    <row r="10" spans="1:24" x14ac:dyDescent="0.25">
      <c r="A10">
        <v>8</v>
      </c>
      <c r="B10">
        <v>1</v>
      </c>
      <c r="C10" t="s">
        <v>14</v>
      </c>
      <c r="D10" t="s">
        <v>587</v>
      </c>
      <c r="E10" t="s">
        <v>10</v>
      </c>
      <c r="F10" s="14" t="s">
        <v>925</v>
      </c>
      <c r="G10" t="s">
        <v>1052</v>
      </c>
      <c r="H10" s="23">
        <v>8</v>
      </c>
      <c r="I10" s="14" t="str">
        <f>TEXT(Tabelle2[[#This Row],[category]],"00")&amp;TEXT(Tabelle2[[#This Row],[internal_order]],"00")</f>
        <v>0108</v>
      </c>
      <c r="J10" s="15">
        <v>2</v>
      </c>
      <c r="K10" s="15">
        <f>Tabelle2[[#This Row],[propertyID]]</f>
        <v>8</v>
      </c>
      <c r="L10" s="15">
        <v>0</v>
      </c>
      <c r="M10" s="15" t="s">
        <v>15</v>
      </c>
      <c r="O10" s="14">
        <v>1</v>
      </c>
      <c r="P10" s="14">
        <f>Tabelle2[[#This Row],[propertyID]]</f>
        <v>8</v>
      </c>
      <c r="Q10" s="14">
        <v>0</v>
      </c>
      <c r="R10" s="14" t="s">
        <v>15</v>
      </c>
      <c r="S10" t="s">
        <v>935</v>
      </c>
      <c r="T10" s="14"/>
      <c r="U10" s="14">
        <v>0</v>
      </c>
      <c r="V10" s="14"/>
      <c r="W10" s="14">
        <v>0</v>
      </c>
      <c r="X10" s="14"/>
    </row>
    <row r="11" spans="1:24" x14ac:dyDescent="0.25">
      <c r="A11">
        <v>9</v>
      </c>
      <c r="B11">
        <v>1</v>
      </c>
      <c r="C11" t="s">
        <v>12</v>
      </c>
      <c r="D11" t="s">
        <v>586</v>
      </c>
      <c r="E11" t="s">
        <v>10</v>
      </c>
      <c r="F11" s="14" t="s">
        <v>925</v>
      </c>
      <c r="G11" t="s">
        <v>1052</v>
      </c>
      <c r="H11" s="23">
        <v>9</v>
      </c>
      <c r="I11" s="14" t="str">
        <f>TEXT(Tabelle2[[#This Row],[category]],"00")&amp;TEXT(Tabelle2[[#This Row],[internal_order]],"00")</f>
        <v>0109</v>
      </c>
      <c r="J11" s="15">
        <v>2</v>
      </c>
      <c r="K11" s="15">
        <f>Tabelle2[[#This Row],[propertyID]]</f>
        <v>9</v>
      </c>
      <c r="L11" s="15">
        <v>0</v>
      </c>
      <c r="M11" s="15" t="s">
        <v>13</v>
      </c>
      <c r="O11" s="14">
        <v>1</v>
      </c>
      <c r="P11" s="14">
        <f>Tabelle2[[#This Row],[propertyID]]</f>
        <v>9</v>
      </c>
      <c r="Q11" s="14">
        <v>0</v>
      </c>
      <c r="R11" s="14" t="s">
        <v>13</v>
      </c>
      <c r="S11" t="s">
        <v>935</v>
      </c>
      <c r="T11" s="14"/>
      <c r="U11" s="14">
        <v>0</v>
      </c>
      <c r="V11" s="14"/>
      <c r="W11" s="14">
        <v>0</v>
      </c>
      <c r="X11" s="14"/>
    </row>
    <row r="12" spans="1:24" x14ac:dyDescent="0.25">
      <c r="A12">
        <v>10</v>
      </c>
      <c r="B12">
        <v>1</v>
      </c>
      <c r="C12" t="s">
        <v>16</v>
      </c>
      <c r="D12" t="s">
        <v>588</v>
      </c>
      <c r="E12" t="s">
        <v>10</v>
      </c>
      <c r="F12" s="14" t="s">
        <v>925</v>
      </c>
      <c r="G12" t="s">
        <v>1052</v>
      </c>
      <c r="H12" s="23">
        <v>10</v>
      </c>
      <c r="I12" s="14" t="str">
        <f>TEXT(Tabelle2[[#This Row],[category]],"00")&amp;TEXT(Tabelle2[[#This Row],[internal_order]],"00")</f>
        <v>0110</v>
      </c>
      <c r="J12" s="15">
        <v>2</v>
      </c>
      <c r="K12" s="15">
        <f>Tabelle2[[#This Row],[propertyID]]</f>
        <v>10</v>
      </c>
      <c r="L12" s="15">
        <v>0</v>
      </c>
      <c r="M12" s="15" t="s">
        <v>17</v>
      </c>
      <c r="O12" s="14">
        <v>1</v>
      </c>
      <c r="P12" s="14">
        <f>Tabelle2[[#This Row],[propertyID]]</f>
        <v>10</v>
      </c>
      <c r="Q12" s="14">
        <v>0</v>
      </c>
      <c r="R12" s="14" t="s">
        <v>17</v>
      </c>
      <c r="S12" t="s">
        <v>935</v>
      </c>
      <c r="T12" s="14"/>
      <c r="U12" s="14">
        <v>0</v>
      </c>
      <c r="V12" s="14"/>
      <c r="W12" s="14">
        <v>0</v>
      </c>
      <c r="X12" s="14"/>
    </row>
    <row r="13" spans="1:24" x14ac:dyDescent="0.25">
      <c r="A13">
        <v>11</v>
      </c>
      <c r="B13">
        <v>1</v>
      </c>
      <c r="C13" t="s">
        <v>31</v>
      </c>
      <c r="D13" t="s">
        <v>864</v>
      </c>
      <c r="E13" t="s">
        <v>32</v>
      </c>
      <c r="F13" s="14" t="s">
        <v>32</v>
      </c>
      <c r="G13" t="s">
        <v>1052</v>
      </c>
      <c r="H13" s="23">
        <v>11</v>
      </c>
      <c r="I13" s="14" t="str">
        <f>TEXT(Tabelle2[[#This Row],[category]],"00")&amp;TEXT(Tabelle2[[#This Row],[internal_order]],"00")</f>
        <v>0111</v>
      </c>
      <c r="J13" s="15">
        <v>2</v>
      </c>
      <c r="K13" s="15">
        <f>Tabelle2[[#This Row],[propertyID]]</f>
        <v>11</v>
      </c>
      <c r="L13" s="15">
        <v>0.5</v>
      </c>
      <c r="M13" s="15" t="s">
        <v>33</v>
      </c>
      <c r="O13" s="14">
        <v>1</v>
      </c>
      <c r="P13" s="14">
        <f>Tabelle2[[#This Row],[propertyID]]</f>
        <v>11</v>
      </c>
      <c r="Q13" s="14">
        <v>0.5</v>
      </c>
      <c r="R13" s="14" t="s">
        <v>33</v>
      </c>
      <c r="S13" t="s">
        <v>935</v>
      </c>
      <c r="T13" s="14"/>
      <c r="U13" s="14">
        <v>-1</v>
      </c>
      <c r="V13" s="14"/>
      <c r="W13" s="14">
        <v>-10</v>
      </c>
      <c r="X13" s="14">
        <v>10</v>
      </c>
    </row>
    <row r="14" spans="1:24" x14ac:dyDescent="0.25">
      <c r="A14">
        <v>12</v>
      </c>
      <c r="B14">
        <v>1</v>
      </c>
      <c r="C14" t="s">
        <v>3</v>
      </c>
      <c r="D14" t="s">
        <v>583</v>
      </c>
      <c r="E14" t="s">
        <v>4</v>
      </c>
      <c r="F14" s="14" t="s">
        <v>4</v>
      </c>
      <c r="G14" t="s">
        <v>1052</v>
      </c>
      <c r="H14" s="23">
        <v>12</v>
      </c>
      <c r="I14" s="14" t="str">
        <f>TEXT(Tabelle2[[#This Row],[category]],"00")&amp;TEXT(Tabelle2[[#This Row],[internal_order]],"00")</f>
        <v>0112</v>
      </c>
      <c r="J14" s="15">
        <v>2</v>
      </c>
      <c r="K14" s="15">
        <f>Tabelle2[[#This Row],[propertyID]]</f>
        <v>12</v>
      </c>
      <c r="L14" s="15">
        <v>20</v>
      </c>
      <c r="M14" s="15" t="s">
        <v>5</v>
      </c>
      <c r="O14" s="14">
        <v>1</v>
      </c>
      <c r="P14" s="14">
        <f>Tabelle2[[#This Row],[propertyID]]</f>
        <v>12</v>
      </c>
      <c r="Q14" s="14">
        <v>20</v>
      </c>
      <c r="R14" s="14" t="s">
        <v>5</v>
      </c>
      <c r="S14" t="s">
        <v>935</v>
      </c>
      <c r="T14" s="14"/>
      <c r="U14" s="14">
        <v>0</v>
      </c>
      <c r="V14" s="14"/>
      <c r="W14" s="14">
        <v>0</v>
      </c>
      <c r="X14" s="14">
        <v>100</v>
      </c>
    </row>
    <row r="15" spans="1:24" x14ac:dyDescent="0.25">
      <c r="A15">
        <v>13</v>
      </c>
      <c r="B15">
        <v>1</v>
      </c>
      <c r="C15" t="s">
        <v>1369</v>
      </c>
      <c r="D15" t="s">
        <v>1370</v>
      </c>
      <c r="E15" t="s">
        <v>41</v>
      </c>
      <c r="F15" s="14" t="s">
        <v>922</v>
      </c>
      <c r="G15" t="s">
        <v>1052</v>
      </c>
      <c r="H15" s="23">
        <v>13</v>
      </c>
      <c r="I15" s="14" t="str">
        <f>TEXT(Tabelle2[[#This Row],[category]],"00")&amp;TEXT(Tabelle2[[#This Row],[internal_order]],"00")</f>
        <v>0113</v>
      </c>
      <c r="J15" s="15">
        <v>2</v>
      </c>
      <c r="K15" s="15">
        <f>Tabelle2[[#This Row],[propertyID]]</f>
        <v>13</v>
      </c>
      <c r="L15" s="15">
        <v>5</v>
      </c>
      <c r="M15" s="15" t="s">
        <v>1375</v>
      </c>
      <c r="O15" s="14">
        <v>1</v>
      </c>
      <c r="P15" s="14">
        <f>Tabelle2[[#This Row],[propertyID]]</f>
        <v>13</v>
      </c>
      <c r="Q15" s="14">
        <v>0.5</v>
      </c>
      <c r="R15" s="14" t="s">
        <v>1375</v>
      </c>
      <c r="T15" s="14"/>
      <c r="U15" s="14">
        <v>0</v>
      </c>
      <c r="V15" s="14"/>
      <c r="W15" s="14">
        <v>0</v>
      </c>
      <c r="X15" s="14"/>
    </row>
    <row r="16" spans="1:24" x14ac:dyDescent="0.25">
      <c r="A16">
        <v>14</v>
      </c>
      <c r="B16">
        <v>1</v>
      </c>
      <c r="C16" t="s">
        <v>1371</v>
      </c>
      <c r="D16" t="s">
        <v>1374</v>
      </c>
      <c r="E16" t="s">
        <v>41</v>
      </c>
      <c r="F16" s="14" t="s">
        <v>922</v>
      </c>
      <c r="G16" t="s">
        <v>1052</v>
      </c>
      <c r="H16" s="23">
        <v>14</v>
      </c>
      <c r="I16" s="14" t="str">
        <f>TEXT(Tabelle2[[#This Row],[category]],"00")&amp;TEXT(Tabelle2[[#This Row],[internal_order]],"00")</f>
        <v>0114</v>
      </c>
      <c r="J16" s="15">
        <v>2</v>
      </c>
      <c r="K16" s="15">
        <f>Tabelle2[[#This Row],[propertyID]]</f>
        <v>14</v>
      </c>
      <c r="L16" s="15">
        <v>2</v>
      </c>
      <c r="M16" s="15" t="s">
        <v>1376</v>
      </c>
      <c r="O16" s="14"/>
      <c r="P16" s="14">
        <f>Tabelle2[[#This Row],[propertyID]]</f>
        <v>14</v>
      </c>
      <c r="Q16" s="14"/>
      <c r="R16" s="14"/>
      <c r="T16" s="14"/>
      <c r="U16" s="14">
        <v>0</v>
      </c>
      <c r="V16" s="14"/>
      <c r="W16" s="14">
        <v>0</v>
      </c>
      <c r="X16" s="14"/>
    </row>
    <row r="17" spans="1:24" x14ac:dyDescent="0.25">
      <c r="A17">
        <v>15</v>
      </c>
      <c r="B17">
        <v>1</v>
      </c>
      <c r="C17" t="s">
        <v>1372</v>
      </c>
      <c r="D17" t="s">
        <v>1373</v>
      </c>
      <c r="E17" t="s">
        <v>41</v>
      </c>
      <c r="F17" s="14" t="s">
        <v>922</v>
      </c>
      <c r="G17" t="s">
        <v>1052</v>
      </c>
      <c r="H17" s="23">
        <v>15</v>
      </c>
      <c r="I17" s="14" t="str">
        <f>TEXT(Tabelle2[[#This Row],[category]],"00")&amp;TEXT(Tabelle2[[#This Row],[internal_order]],"00")</f>
        <v>0115</v>
      </c>
      <c r="J17" s="15"/>
      <c r="K17" s="15">
        <f>Tabelle2[[#This Row],[propertyID]]</f>
        <v>15</v>
      </c>
      <c r="L17" s="15"/>
      <c r="M17" s="15"/>
      <c r="O17" s="14"/>
      <c r="P17" s="14">
        <f>Tabelle2[[#This Row],[propertyID]]</f>
        <v>15</v>
      </c>
      <c r="Q17" s="14"/>
      <c r="R17" s="14"/>
      <c r="T17" s="14"/>
      <c r="U17" s="14">
        <v>0</v>
      </c>
      <c r="V17" s="14"/>
      <c r="W17" s="14">
        <v>0</v>
      </c>
      <c r="X17" s="14"/>
    </row>
    <row r="18" spans="1:24" x14ac:dyDescent="0.25">
      <c r="A18">
        <v>16</v>
      </c>
      <c r="B18">
        <v>1</v>
      </c>
      <c r="C18" t="s">
        <v>1377</v>
      </c>
      <c r="D18" t="s">
        <v>1380</v>
      </c>
      <c r="E18" t="s">
        <v>21</v>
      </c>
      <c r="F18" s="14" t="s">
        <v>923</v>
      </c>
      <c r="G18" t="s">
        <v>1052</v>
      </c>
      <c r="H18" s="23">
        <v>16</v>
      </c>
      <c r="I18" s="14" t="str">
        <f>TEXT(Tabelle2[[#This Row],[category]],"00")&amp;TEXT(Tabelle2[[#This Row],[internal_order]],"00")</f>
        <v>0116</v>
      </c>
      <c r="J18" s="15">
        <v>2</v>
      </c>
      <c r="K18" s="15">
        <f>Tabelle2[[#This Row],[propertyID]]</f>
        <v>16</v>
      </c>
      <c r="L18" s="15">
        <v>0.155</v>
      </c>
      <c r="M18" s="15" t="s">
        <v>1383</v>
      </c>
      <c r="O18" s="14">
        <v>1</v>
      </c>
      <c r="P18" s="14">
        <f>Tabelle2[[#This Row],[propertyID]]</f>
        <v>16</v>
      </c>
      <c r="Q18" s="14">
        <v>0.1</v>
      </c>
      <c r="R18" s="14" t="s">
        <v>1383</v>
      </c>
      <c r="T18" s="14"/>
      <c r="U18" s="14">
        <v>0</v>
      </c>
      <c r="V18" s="14"/>
      <c r="W18" s="14">
        <v>0</v>
      </c>
      <c r="X18" s="14"/>
    </row>
    <row r="19" spans="1:24" x14ac:dyDescent="0.25">
      <c r="A19">
        <v>17</v>
      </c>
      <c r="B19">
        <v>1</v>
      </c>
      <c r="C19" t="s">
        <v>1378</v>
      </c>
      <c r="D19" t="s">
        <v>1381</v>
      </c>
      <c r="E19" t="s">
        <v>21</v>
      </c>
      <c r="F19" s="14" t="s">
        <v>923</v>
      </c>
      <c r="G19" t="s">
        <v>1052</v>
      </c>
      <c r="H19" s="23">
        <v>17</v>
      </c>
      <c r="I19" s="14" t="str">
        <f>TEXT(Tabelle2[[#This Row],[category]],"00")&amp;TEXT(Tabelle2[[#This Row],[internal_order]],"00")</f>
        <v>0117</v>
      </c>
      <c r="J19" s="15">
        <v>2</v>
      </c>
      <c r="K19" s="15">
        <f>Tabelle2[[#This Row],[propertyID]]</f>
        <v>17</v>
      </c>
      <c r="L19" s="15">
        <v>0.05</v>
      </c>
      <c r="M19" s="15" t="s">
        <v>1384</v>
      </c>
      <c r="O19" s="14"/>
      <c r="P19" s="14">
        <f>Tabelle2[[#This Row],[propertyID]]</f>
        <v>17</v>
      </c>
      <c r="Q19" s="14"/>
      <c r="R19" s="14"/>
      <c r="T19" s="14"/>
      <c r="U19" s="14">
        <v>0</v>
      </c>
      <c r="V19" s="14"/>
      <c r="W19" s="14">
        <v>0</v>
      </c>
      <c r="X19" s="14"/>
    </row>
    <row r="20" spans="1:24" x14ac:dyDescent="0.25">
      <c r="A20">
        <v>18</v>
      </c>
      <c r="B20">
        <v>1</v>
      </c>
      <c r="C20" t="s">
        <v>1379</v>
      </c>
      <c r="D20" t="s">
        <v>1382</v>
      </c>
      <c r="E20" t="s">
        <v>21</v>
      </c>
      <c r="F20" s="14" t="s">
        <v>923</v>
      </c>
      <c r="G20" t="s">
        <v>1052</v>
      </c>
      <c r="H20" s="23">
        <v>18</v>
      </c>
      <c r="I20" s="14" t="str">
        <f>TEXT(Tabelle2[[#This Row],[category]],"00")&amp;TEXT(Tabelle2[[#This Row],[internal_order]],"00")</f>
        <v>0118</v>
      </c>
      <c r="J20" s="15"/>
      <c r="K20" s="15">
        <f>Tabelle2[[#This Row],[propertyID]]</f>
        <v>18</v>
      </c>
      <c r="L20" s="15"/>
      <c r="M20" s="15"/>
      <c r="O20" s="14"/>
      <c r="P20" s="14">
        <f>Tabelle2[[#This Row],[propertyID]]</f>
        <v>18</v>
      </c>
      <c r="Q20" s="14"/>
      <c r="R20" s="14"/>
      <c r="T20" s="14"/>
      <c r="U20" s="14">
        <v>0</v>
      </c>
      <c r="V20" s="14"/>
      <c r="W20" s="14">
        <v>0</v>
      </c>
      <c r="X20" s="14"/>
    </row>
    <row r="21" spans="1:24" x14ac:dyDescent="0.25">
      <c r="A21">
        <v>19</v>
      </c>
      <c r="B21">
        <v>2</v>
      </c>
      <c r="C21" t="s">
        <v>47</v>
      </c>
      <c r="D21" t="s">
        <v>598</v>
      </c>
      <c r="E21" t="s">
        <v>41</v>
      </c>
      <c r="F21" s="14" t="s">
        <v>922</v>
      </c>
      <c r="G21" t="s">
        <v>1052</v>
      </c>
      <c r="H21" s="23">
        <v>1</v>
      </c>
      <c r="I21" s="14" t="str">
        <f>TEXT(Tabelle2[[#This Row],[category]],"00")&amp;TEXT(Tabelle2[[#This Row],[internal_order]],"00")</f>
        <v>0201</v>
      </c>
      <c r="J21" s="15">
        <v>2</v>
      </c>
      <c r="K21" s="15">
        <f>Tabelle2[[#This Row],[propertyID]]</f>
        <v>19</v>
      </c>
      <c r="L21" s="15">
        <v>3</v>
      </c>
      <c r="M21" s="15" t="s">
        <v>48</v>
      </c>
      <c r="O21" s="14">
        <v>1</v>
      </c>
      <c r="P21" s="14">
        <f>Tabelle2[[#This Row],[propertyID]]</f>
        <v>19</v>
      </c>
      <c r="Q21" s="14">
        <v>3</v>
      </c>
      <c r="R21" s="14" t="s">
        <v>48</v>
      </c>
      <c r="S21" t="s">
        <v>226</v>
      </c>
      <c r="T21" s="14"/>
      <c r="U21" s="14"/>
      <c r="V21" s="14"/>
      <c r="W21" s="14">
        <v>0</v>
      </c>
      <c r="X21" s="14"/>
    </row>
    <row r="22" spans="1:24" x14ac:dyDescent="0.25">
      <c r="A22">
        <v>20</v>
      </c>
      <c r="B22">
        <v>2</v>
      </c>
      <c r="C22" t="s">
        <v>81</v>
      </c>
      <c r="D22" t="s">
        <v>610</v>
      </c>
      <c r="E22" t="s">
        <v>4</v>
      </c>
      <c r="F22" s="14" t="s">
        <v>4</v>
      </c>
      <c r="G22" t="s">
        <v>1052</v>
      </c>
      <c r="H22" s="23">
        <v>2</v>
      </c>
      <c r="I22" s="14" t="str">
        <f>TEXT(Tabelle2[[#This Row],[category]],"00")&amp;TEXT(Tabelle2[[#This Row],[internal_order]],"00")</f>
        <v>0202</v>
      </c>
      <c r="J22" s="15">
        <v>2</v>
      </c>
      <c r="K22" s="15">
        <f>Tabelle2[[#This Row],[propertyID]]</f>
        <v>20</v>
      </c>
      <c r="L22" s="15">
        <v>100</v>
      </c>
      <c r="M22" s="15" t="s">
        <v>82</v>
      </c>
      <c r="O22" s="14">
        <v>1</v>
      </c>
      <c r="P22" s="14">
        <f>Tabelle2[[#This Row],[propertyID]]</f>
        <v>20</v>
      </c>
      <c r="Q22" s="14">
        <v>100</v>
      </c>
      <c r="R22" s="14" t="s">
        <v>82</v>
      </c>
      <c r="S22" t="s">
        <v>226</v>
      </c>
      <c r="T22" s="14"/>
      <c r="U22" s="14"/>
      <c r="V22" s="14"/>
      <c r="W22" s="14">
        <v>0</v>
      </c>
      <c r="X22" s="14"/>
    </row>
    <row r="23" spans="1:24" x14ac:dyDescent="0.25">
      <c r="A23">
        <v>21</v>
      </c>
      <c r="B23">
        <v>2</v>
      </c>
      <c r="C23" t="s">
        <v>95</v>
      </c>
      <c r="D23" t="s">
        <v>615</v>
      </c>
      <c r="E23" t="s">
        <v>26</v>
      </c>
      <c r="F23" s="14" t="s">
        <v>26</v>
      </c>
      <c r="G23" t="s">
        <v>1052</v>
      </c>
      <c r="H23" s="23">
        <v>3</v>
      </c>
      <c r="I23" s="14" t="str">
        <f>TEXT(Tabelle2[[#This Row],[category]],"00")&amp;TEXT(Tabelle2[[#This Row],[internal_order]],"00")</f>
        <v>0203</v>
      </c>
      <c r="J23" s="15">
        <v>2</v>
      </c>
      <c r="K23" s="15">
        <f>Tabelle2[[#This Row],[propertyID]]</f>
        <v>21</v>
      </c>
      <c r="L23" s="15">
        <v>5</v>
      </c>
      <c r="M23" s="15" t="s">
        <v>96</v>
      </c>
      <c r="O23" s="14">
        <v>1</v>
      </c>
      <c r="P23" s="14">
        <f>Tabelle2[[#This Row],[propertyID]]</f>
        <v>21</v>
      </c>
      <c r="Q23" s="14">
        <v>7.5</v>
      </c>
      <c r="R23" s="14" t="s">
        <v>96</v>
      </c>
      <c r="S23" t="s">
        <v>226</v>
      </c>
      <c r="T23" s="14"/>
      <c r="U23" s="14"/>
      <c r="V23" s="14"/>
      <c r="W23" s="14">
        <v>0</v>
      </c>
      <c r="X23" s="14"/>
    </row>
    <row r="24" spans="1:24" x14ac:dyDescent="0.25">
      <c r="A24">
        <v>22</v>
      </c>
      <c r="B24">
        <v>2</v>
      </c>
      <c r="C24" t="s">
        <v>37</v>
      </c>
      <c r="D24" t="s">
        <v>594</v>
      </c>
      <c r="E24" t="s">
        <v>38</v>
      </c>
      <c r="F24" s="14" t="s">
        <v>38</v>
      </c>
      <c r="G24" t="s">
        <v>1052</v>
      </c>
      <c r="H24" s="23">
        <v>4</v>
      </c>
      <c r="I24" s="14" t="str">
        <f>TEXT(Tabelle2[[#This Row],[category]],"00")&amp;TEXT(Tabelle2[[#This Row],[internal_order]],"00")</f>
        <v>0204</v>
      </c>
      <c r="J24" s="15">
        <v>2</v>
      </c>
      <c r="K24" s="15">
        <f>Tabelle2[[#This Row],[propertyID]]</f>
        <v>22</v>
      </c>
      <c r="L24" s="15">
        <v>5</v>
      </c>
      <c r="M24" s="15" t="s">
        <v>39</v>
      </c>
      <c r="O24" s="14">
        <v>1</v>
      </c>
      <c r="P24" s="14">
        <f>Tabelle2[[#This Row],[propertyID]]</f>
        <v>22</v>
      </c>
      <c r="Q24" s="14">
        <v>10</v>
      </c>
      <c r="R24" s="14" t="s">
        <v>39</v>
      </c>
      <c r="S24" t="s">
        <v>226</v>
      </c>
      <c r="T24" s="14"/>
      <c r="U24" s="14"/>
      <c r="V24" s="14"/>
      <c r="W24" s="14">
        <v>0</v>
      </c>
      <c r="X24" s="14"/>
    </row>
    <row r="25" spans="1:24" x14ac:dyDescent="0.25">
      <c r="A25">
        <v>23</v>
      </c>
      <c r="B25">
        <v>2</v>
      </c>
      <c r="C25" t="s">
        <v>91</v>
      </c>
      <c r="D25" t="s">
        <v>613</v>
      </c>
      <c r="E25" t="s">
        <v>29</v>
      </c>
      <c r="F25" s="14" t="s">
        <v>29</v>
      </c>
      <c r="G25" t="s">
        <v>1052</v>
      </c>
      <c r="H25" s="23">
        <v>5</v>
      </c>
      <c r="I25" s="14" t="str">
        <f>TEXT(Tabelle2[[#This Row],[category]],"00")&amp;TEXT(Tabelle2[[#This Row],[internal_order]],"00")</f>
        <v>0205</v>
      </c>
      <c r="J25" s="15">
        <v>2</v>
      </c>
      <c r="K25" s="15">
        <f>Tabelle2[[#This Row],[propertyID]]</f>
        <v>23</v>
      </c>
      <c r="L25" s="15">
        <v>30</v>
      </c>
      <c r="M25" s="15" t="s">
        <v>92</v>
      </c>
      <c r="O25" s="14">
        <v>1</v>
      </c>
      <c r="P25" s="14">
        <f>Tabelle2[[#This Row],[propertyID]]</f>
        <v>23</v>
      </c>
      <c r="Q25" s="14">
        <v>32</v>
      </c>
      <c r="R25" s="14" t="s">
        <v>92</v>
      </c>
      <c r="S25" t="s">
        <v>226</v>
      </c>
      <c r="T25" s="14"/>
      <c r="U25" s="14"/>
      <c r="V25" s="14"/>
      <c r="W25" s="14">
        <v>0</v>
      </c>
      <c r="X25" s="14"/>
    </row>
    <row r="26" spans="1:24" x14ac:dyDescent="0.25">
      <c r="A26">
        <v>24</v>
      </c>
      <c r="B26">
        <v>2</v>
      </c>
      <c r="C26" t="s">
        <v>93</v>
      </c>
      <c r="D26" t="s">
        <v>614</v>
      </c>
      <c r="E26" t="s">
        <v>29</v>
      </c>
      <c r="F26" s="14" t="s">
        <v>29</v>
      </c>
      <c r="G26" t="s">
        <v>1052</v>
      </c>
      <c r="H26" s="23">
        <v>6</v>
      </c>
      <c r="I26" s="14" t="str">
        <f>TEXT(Tabelle2[[#This Row],[category]],"00")&amp;TEXT(Tabelle2[[#This Row],[internal_order]],"00")</f>
        <v>0206</v>
      </c>
      <c r="J26" s="15">
        <v>2</v>
      </c>
      <c r="K26" s="15">
        <f>Tabelle2[[#This Row],[propertyID]]</f>
        <v>24</v>
      </c>
      <c r="L26" s="15">
        <v>30</v>
      </c>
      <c r="M26" s="15" t="s">
        <v>94</v>
      </c>
      <c r="O26" s="14">
        <v>1</v>
      </c>
      <c r="P26" s="14">
        <f>Tabelle2[[#This Row],[propertyID]]</f>
        <v>24</v>
      </c>
      <c r="Q26" s="14">
        <v>32</v>
      </c>
      <c r="R26" s="14" t="s">
        <v>94</v>
      </c>
      <c r="S26" t="s">
        <v>226</v>
      </c>
      <c r="T26" s="14"/>
      <c r="U26" s="14"/>
      <c r="V26" s="14"/>
      <c r="W26" s="14">
        <v>0</v>
      </c>
      <c r="X26" s="14"/>
    </row>
    <row r="27" spans="1:24" x14ac:dyDescent="0.25">
      <c r="A27">
        <v>25</v>
      </c>
      <c r="B27">
        <v>2</v>
      </c>
      <c r="C27" t="s">
        <v>40</v>
      </c>
      <c r="D27" t="s">
        <v>595</v>
      </c>
      <c r="E27" t="s">
        <v>41</v>
      </c>
      <c r="F27" s="14" t="s">
        <v>922</v>
      </c>
      <c r="G27" t="s">
        <v>1052</v>
      </c>
      <c r="H27" s="23">
        <v>7</v>
      </c>
      <c r="I27" s="14" t="str">
        <f>TEXT(Tabelle2[[#This Row],[category]],"00")&amp;TEXT(Tabelle2[[#This Row],[internal_order]],"00")</f>
        <v>0207</v>
      </c>
      <c r="J27" s="15">
        <v>2</v>
      </c>
      <c r="K27" s="15">
        <f>Tabelle2[[#This Row],[propertyID]]</f>
        <v>25</v>
      </c>
      <c r="L27" s="15">
        <v>25</v>
      </c>
      <c r="M27" s="15" t="s">
        <v>42</v>
      </c>
      <c r="N27" t="s">
        <v>1302</v>
      </c>
      <c r="O27" s="14">
        <v>1</v>
      </c>
      <c r="P27" s="14">
        <f>Tabelle2[[#This Row],[propertyID]]</f>
        <v>25</v>
      </c>
      <c r="Q27" s="14">
        <v>5</v>
      </c>
      <c r="R27" s="14" t="s">
        <v>42</v>
      </c>
      <c r="S27" t="s">
        <v>226</v>
      </c>
      <c r="T27" s="14"/>
      <c r="U27" s="14"/>
      <c r="V27" s="14"/>
      <c r="W27" s="14">
        <v>0</v>
      </c>
      <c r="X27" s="14"/>
    </row>
    <row r="28" spans="1:24" x14ac:dyDescent="0.25">
      <c r="A28">
        <v>26</v>
      </c>
      <c r="B28">
        <v>2</v>
      </c>
      <c r="C28" t="s">
        <v>43</v>
      </c>
      <c r="D28" t="s">
        <v>596</v>
      </c>
      <c r="E28" t="s">
        <v>41</v>
      </c>
      <c r="F28" s="14" t="s">
        <v>922</v>
      </c>
      <c r="G28" t="s">
        <v>1052</v>
      </c>
      <c r="H28" s="23">
        <v>8</v>
      </c>
      <c r="I28" s="14" t="str">
        <f>TEXT(Tabelle2[[#This Row],[category]],"00")&amp;TEXT(Tabelle2[[#This Row],[internal_order]],"00")</f>
        <v>0208</v>
      </c>
      <c r="J28" s="15">
        <v>2</v>
      </c>
      <c r="K28" s="15">
        <f>Tabelle2[[#This Row],[propertyID]]</f>
        <v>26</v>
      </c>
      <c r="L28" s="15">
        <v>0</v>
      </c>
      <c r="M28" s="15" t="s">
        <v>44</v>
      </c>
      <c r="N28" t="s">
        <v>1302</v>
      </c>
      <c r="O28" s="14">
        <v>1</v>
      </c>
      <c r="P28" s="14">
        <f>Tabelle2[[#This Row],[propertyID]]</f>
        <v>26</v>
      </c>
      <c r="Q28" s="14">
        <v>0</v>
      </c>
      <c r="R28" s="14" t="s">
        <v>44</v>
      </c>
      <c r="S28" t="s">
        <v>226</v>
      </c>
      <c r="T28" s="14"/>
      <c r="U28" s="14"/>
      <c r="V28" s="14"/>
      <c r="W28" s="14">
        <v>0</v>
      </c>
      <c r="X28" s="14"/>
    </row>
    <row r="29" spans="1:24" x14ac:dyDescent="0.25">
      <c r="A29">
        <v>27</v>
      </c>
      <c r="B29">
        <v>2</v>
      </c>
      <c r="C29" t="s">
        <v>45</v>
      </c>
      <c r="D29" t="s">
        <v>597</v>
      </c>
      <c r="E29" t="s">
        <v>41</v>
      </c>
      <c r="F29" s="14" t="s">
        <v>922</v>
      </c>
      <c r="G29" t="s">
        <v>1052</v>
      </c>
      <c r="H29" s="23">
        <v>9</v>
      </c>
      <c r="I29" s="14" t="str">
        <f>TEXT(Tabelle2[[#This Row],[category]],"00")&amp;TEXT(Tabelle2[[#This Row],[internal_order]],"00")</f>
        <v>0209</v>
      </c>
      <c r="J29" s="15">
        <v>2</v>
      </c>
      <c r="K29" s="15">
        <f>Tabelle2[[#This Row],[propertyID]]</f>
        <v>27</v>
      </c>
      <c r="L29" s="15">
        <v>0</v>
      </c>
      <c r="M29" s="15" t="s">
        <v>46</v>
      </c>
      <c r="N29" t="s">
        <v>1302</v>
      </c>
      <c r="O29" s="14">
        <v>1</v>
      </c>
      <c r="P29" s="14">
        <f>Tabelle2[[#This Row],[propertyID]]</f>
        <v>27</v>
      </c>
      <c r="Q29" s="14">
        <v>0</v>
      </c>
      <c r="R29" s="14" t="s">
        <v>46</v>
      </c>
      <c r="S29" t="s">
        <v>226</v>
      </c>
      <c r="T29" s="14"/>
      <c r="U29" s="14"/>
      <c r="V29" s="14"/>
      <c r="W29" s="14">
        <v>0</v>
      </c>
      <c r="X29" s="14"/>
    </row>
    <row r="30" spans="1:24" x14ac:dyDescent="0.25">
      <c r="A30">
        <v>28</v>
      </c>
      <c r="B30">
        <v>2</v>
      </c>
      <c r="C30" t="s">
        <v>1397</v>
      </c>
      <c r="D30" t="s">
        <v>1399</v>
      </c>
      <c r="E30" t="s">
        <v>41</v>
      </c>
      <c r="F30" s="14" t="s">
        <v>922</v>
      </c>
      <c r="G30" t="s">
        <v>1052</v>
      </c>
      <c r="H30" s="23">
        <v>10</v>
      </c>
      <c r="I30" s="14" t="str">
        <f>TEXT(Tabelle2[[#This Row],[category]],"00")&amp;TEXT(Tabelle2[[#This Row],[internal_order]],"00")</f>
        <v>0210</v>
      </c>
      <c r="J30" s="15">
        <v>2</v>
      </c>
      <c r="K30" s="15">
        <f>Tabelle2[[#This Row],[propertyID]]</f>
        <v>28</v>
      </c>
      <c r="L30" s="15">
        <v>0</v>
      </c>
      <c r="M30" s="15" t="s">
        <v>1400</v>
      </c>
      <c r="O30" s="14">
        <v>1</v>
      </c>
      <c r="P30" s="14">
        <f>Tabelle2[[#This Row],[propertyID]]</f>
        <v>28</v>
      </c>
      <c r="Q30" s="14">
        <v>0</v>
      </c>
      <c r="R30" s="14" t="s">
        <v>1400</v>
      </c>
      <c r="T30" s="14"/>
      <c r="U30" s="14"/>
      <c r="V30" s="14"/>
      <c r="W30" s="14">
        <v>0</v>
      </c>
      <c r="X30" s="14"/>
    </row>
    <row r="31" spans="1:24" x14ac:dyDescent="0.25">
      <c r="A31">
        <v>29</v>
      </c>
      <c r="B31">
        <v>2</v>
      </c>
      <c r="C31" t="s">
        <v>1396</v>
      </c>
      <c r="D31" t="s">
        <v>1398</v>
      </c>
      <c r="E31" t="s">
        <v>41</v>
      </c>
      <c r="F31" s="14" t="s">
        <v>922</v>
      </c>
      <c r="G31" t="s">
        <v>1052</v>
      </c>
      <c r="H31" s="23">
        <v>11</v>
      </c>
      <c r="I31" s="14" t="str">
        <f>TEXT(Tabelle2[[#This Row],[category]],"00")&amp;TEXT(Tabelle2[[#This Row],[internal_order]],"00")</f>
        <v>0211</v>
      </c>
      <c r="J31" s="15">
        <v>2</v>
      </c>
      <c r="K31" s="15">
        <f>Tabelle2[[#This Row],[propertyID]]</f>
        <v>29</v>
      </c>
      <c r="L31" s="15">
        <v>0</v>
      </c>
      <c r="M31" s="15" t="s">
        <v>1401</v>
      </c>
      <c r="O31" s="14">
        <v>1</v>
      </c>
      <c r="P31" s="14">
        <f>Tabelle2[[#This Row],[propertyID]]</f>
        <v>29</v>
      </c>
      <c r="Q31" s="14">
        <v>0</v>
      </c>
      <c r="R31" s="14" t="s">
        <v>1401</v>
      </c>
      <c r="T31" s="14"/>
      <c r="U31" s="14"/>
      <c r="V31" s="14"/>
      <c r="W31" s="14">
        <v>0</v>
      </c>
      <c r="X31" s="14"/>
    </row>
    <row r="32" spans="1:24" x14ac:dyDescent="0.25">
      <c r="A32">
        <v>30</v>
      </c>
      <c r="B32">
        <v>2</v>
      </c>
      <c r="C32" t="s">
        <v>931</v>
      </c>
      <c r="D32" t="s">
        <v>932</v>
      </c>
      <c r="E32" t="s">
        <v>41</v>
      </c>
      <c r="F32" s="14" t="s">
        <v>922</v>
      </c>
      <c r="G32" t="s">
        <v>1052</v>
      </c>
      <c r="H32" s="23">
        <v>12</v>
      </c>
      <c r="I32" s="14" t="str">
        <f>TEXT(Tabelle2[[#This Row],[category]],"00")&amp;TEXT(Tabelle2[[#This Row],[internal_order]],"00")</f>
        <v>0212</v>
      </c>
      <c r="J32" s="15">
        <v>2</v>
      </c>
      <c r="K32" s="15">
        <f>Tabelle2[[#This Row],[propertyID]]</f>
        <v>30</v>
      </c>
      <c r="L32" s="15">
        <v>1.4735071000000001E-2</v>
      </c>
      <c r="M32" s="15" t="s">
        <v>933</v>
      </c>
      <c r="N32" t="s">
        <v>999</v>
      </c>
      <c r="O32" s="14">
        <v>1</v>
      </c>
      <c r="P32" s="14">
        <f>Tabelle2[[#This Row],[propertyID]]</f>
        <v>30</v>
      </c>
      <c r="Q32" s="14">
        <v>1.4735071000000001E-2</v>
      </c>
      <c r="R32" s="14" t="s">
        <v>933</v>
      </c>
      <c r="S32" t="s">
        <v>226</v>
      </c>
      <c r="T32" s="14"/>
      <c r="U32" s="14"/>
      <c r="V32" s="14"/>
      <c r="W32" s="14">
        <v>0</v>
      </c>
      <c r="X32" s="14"/>
    </row>
    <row r="33" spans="1:24" x14ac:dyDescent="0.25">
      <c r="A33">
        <v>31</v>
      </c>
      <c r="B33">
        <v>3</v>
      </c>
      <c r="C33" t="s">
        <v>49</v>
      </c>
      <c r="D33" t="s">
        <v>599</v>
      </c>
      <c r="E33" t="s">
        <v>50</v>
      </c>
      <c r="F33" s="14" t="s">
        <v>1491</v>
      </c>
      <c r="G33" t="s">
        <v>1052</v>
      </c>
      <c r="H33" s="23">
        <v>1</v>
      </c>
      <c r="I33" s="14" t="str">
        <f>TEXT(Tabelle2[[#This Row],[category]],"00")&amp;TEXT(Tabelle2[[#This Row],[internal_order]],"00")</f>
        <v>0301</v>
      </c>
      <c r="J33" s="15">
        <v>2</v>
      </c>
      <c r="K33" s="15">
        <f>Tabelle2[[#This Row],[propertyID]]</f>
        <v>31</v>
      </c>
      <c r="L33" s="15">
        <v>150000</v>
      </c>
      <c r="M33" s="15" t="s">
        <v>51</v>
      </c>
      <c r="O33" s="14">
        <v>1</v>
      </c>
      <c r="P33" s="14">
        <f>Tabelle2[[#This Row],[propertyID]]</f>
        <v>31</v>
      </c>
      <c r="Q33" s="14">
        <v>150000</v>
      </c>
      <c r="R33" s="14" t="s">
        <v>51</v>
      </c>
      <c r="S33" t="s">
        <v>936</v>
      </c>
      <c r="T33" s="14"/>
      <c r="U33" s="14"/>
      <c r="V33" s="14"/>
      <c r="W33" s="14">
        <v>0</v>
      </c>
      <c r="X33" s="14"/>
    </row>
    <row r="34" spans="1:24" x14ac:dyDescent="0.25">
      <c r="A34">
        <v>32</v>
      </c>
      <c r="B34">
        <v>3</v>
      </c>
      <c r="C34" t="s">
        <v>52</v>
      </c>
      <c r="D34" t="s">
        <v>865</v>
      </c>
      <c r="E34" t="s">
        <v>26</v>
      </c>
      <c r="F34" s="14" t="s">
        <v>26</v>
      </c>
      <c r="G34" t="s">
        <v>1052</v>
      </c>
      <c r="H34" s="23">
        <v>2</v>
      </c>
      <c r="I34" s="14" t="str">
        <f>TEXT(Tabelle2[[#This Row],[category]],"00")&amp;TEXT(Tabelle2[[#This Row],[internal_order]],"00")</f>
        <v>0302</v>
      </c>
      <c r="J34" s="15">
        <v>2</v>
      </c>
      <c r="K34" s="15">
        <f>Tabelle2[[#This Row],[propertyID]]</f>
        <v>32</v>
      </c>
      <c r="L34" s="15">
        <v>0.2094</v>
      </c>
      <c r="M34" s="15" t="s">
        <v>53</v>
      </c>
      <c r="O34" s="14">
        <v>1</v>
      </c>
      <c r="P34" s="14">
        <f>Tabelle2[[#This Row],[propertyID]]</f>
        <v>32</v>
      </c>
      <c r="Q34" s="14">
        <v>0.2094</v>
      </c>
      <c r="R34" s="14" t="s">
        <v>53</v>
      </c>
      <c r="S34" t="s">
        <v>936</v>
      </c>
      <c r="T34" s="14"/>
      <c r="U34" s="14"/>
      <c r="V34" s="14"/>
      <c r="W34" s="14">
        <v>0</v>
      </c>
      <c r="X34" s="14"/>
    </row>
    <row r="35" spans="1:24" x14ac:dyDescent="0.25">
      <c r="A35">
        <v>33</v>
      </c>
      <c r="B35">
        <v>3</v>
      </c>
      <c r="C35" t="s">
        <v>937</v>
      </c>
      <c r="D35" t="s">
        <v>938</v>
      </c>
      <c r="E35" t="s">
        <v>26</v>
      </c>
      <c r="F35" s="14" t="s">
        <v>26</v>
      </c>
      <c r="G35" t="s">
        <v>1052</v>
      </c>
      <c r="H35" s="23">
        <v>3</v>
      </c>
      <c r="I35" s="14" t="str">
        <f>TEXT(Tabelle2[[#This Row],[category]],"00")&amp;TEXT(Tabelle2[[#This Row],[internal_order]],"00")</f>
        <v>0303</v>
      </c>
      <c r="J35" s="15">
        <v>2</v>
      </c>
      <c r="K35" s="15">
        <f>Tabelle2[[#This Row],[propertyID]]</f>
        <v>33</v>
      </c>
      <c r="L35" s="15">
        <v>4.0000000000000001E-3</v>
      </c>
      <c r="M35" s="15" t="s">
        <v>939</v>
      </c>
      <c r="O35" s="14">
        <v>1</v>
      </c>
      <c r="P35" s="14">
        <f>Tabelle2[[#This Row],[propertyID]]</f>
        <v>33</v>
      </c>
      <c r="Q35" s="14">
        <v>4.0000000000000001E-3</v>
      </c>
      <c r="R35" s="14" t="s">
        <v>939</v>
      </c>
      <c r="S35" t="s">
        <v>936</v>
      </c>
      <c r="T35" s="14"/>
      <c r="U35" s="14"/>
      <c r="V35" s="14"/>
      <c r="W35" s="14">
        <v>0</v>
      </c>
      <c r="X35" s="14"/>
    </row>
    <row r="36" spans="1:24" x14ac:dyDescent="0.25">
      <c r="A36">
        <v>34</v>
      </c>
      <c r="B36">
        <v>4</v>
      </c>
      <c r="C36" t="s">
        <v>1187</v>
      </c>
      <c r="D36" t="s">
        <v>1206</v>
      </c>
      <c r="E36" t="s">
        <v>41</v>
      </c>
      <c r="F36" s="14" t="s">
        <v>922</v>
      </c>
      <c r="G36" t="s">
        <v>1052</v>
      </c>
      <c r="H36" s="23">
        <v>1</v>
      </c>
      <c r="I36" s="14" t="str">
        <f>TEXT(Tabelle2[[#This Row],[category]],"00")&amp;TEXT(Tabelle2[[#This Row],[internal_order]],"00")</f>
        <v>0401</v>
      </c>
      <c r="J36" s="15">
        <v>2</v>
      </c>
      <c r="K36" s="15">
        <f>Tabelle2[[#This Row],[propertyID]]</f>
        <v>34</v>
      </c>
      <c r="L36" s="15">
        <v>150</v>
      </c>
      <c r="M36" s="15" t="s">
        <v>1308</v>
      </c>
      <c r="N36" t="s">
        <v>1302</v>
      </c>
      <c r="O36" s="14">
        <v>1</v>
      </c>
      <c r="P36" s="14">
        <f>Tabelle2[[#This Row],[propertyID]]</f>
        <v>34</v>
      </c>
      <c r="Q36" s="14">
        <v>200</v>
      </c>
      <c r="R36" s="14" t="s">
        <v>57</v>
      </c>
      <c r="S36" t="s">
        <v>1152</v>
      </c>
      <c r="T36" s="14"/>
      <c r="U36" s="14"/>
      <c r="V36" s="14"/>
      <c r="W36" s="14">
        <v>0</v>
      </c>
      <c r="X36" s="14"/>
    </row>
    <row r="37" spans="1:24" x14ac:dyDescent="0.25">
      <c r="A37">
        <v>35</v>
      </c>
      <c r="B37">
        <v>4</v>
      </c>
      <c r="C37" t="s">
        <v>1188</v>
      </c>
      <c r="D37" t="s">
        <v>1207</v>
      </c>
      <c r="E37" t="s">
        <v>41</v>
      </c>
      <c r="F37" s="14" t="s">
        <v>922</v>
      </c>
      <c r="G37" t="s">
        <v>1052</v>
      </c>
      <c r="H37" s="23">
        <v>2</v>
      </c>
      <c r="I37" s="14" t="str">
        <f>TEXT(Tabelle2[[#This Row],[category]],"00")&amp;TEXT(Tabelle2[[#This Row],[internal_order]],"00")</f>
        <v>0402</v>
      </c>
      <c r="J37" s="15">
        <v>2</v>
      </c>
      <c r="K37" s="15">
        <f>Tabelle2[[#This Row],[propertyID]]</f>
        <v>35</v>
      </c>
      <c r="L37" s="15">
        <v>0</v>
      </c>
      <c r="M37" s="15" t="s">
        <v>1311</v>
      </c>
      <c r="N37" t="s">
        <v>1302</v>
      </c>
      <c r="O37" s="14">
        <v>1</v>
      </c>
      <c r="P37" s="14">
        <f>Tabelle2[[#This Row],[propertyID]]</f>
        <v>35</v>
      </c>
      <c r="Q37" s="14">
        <v>0</v>
      </c>
      <c r="R37" s="14" t="s">
        <v>942</v>
      </c>
      <c r="S37" t="s">
        <v>1152</v>
      </c>
      <c r="T37" s="14"/>
      <c r="U37" s="14"/>
      <c r="V37" s="14"/>
      <c r="W37" s="14">
        <v>0</v>
      </c>
      <c r="X37" s="14"/>
    </row>
    <row r="38" spans="1:24" x14ac:dyDescent="0.25">
      <c r="A38">
        <v>36</v>
      </c>
      <c r="B38">
        <v>4</v>
      </c>
      <c r="C38" t="s">
        <v>1189</v>
      </c>
      <c r="D38" t="s">
        <v>1208</v>
      </c>
      <c r="E38" t="s">
        <v>41</v>
      </c>
      <c r="F38" s="14" t="s">
        <v>922</v>
      </c>
      <c r="G38" t="s">
        <v>1052</v>
      </c>
      <c r="H38" s="23">
        <v>3</v>
      </c>
      <c r="I38" s="14" t="str">
        <f>TEXT(Tabelle2[[#This Row],[category]],"00")&amp;TEXT(Tabelle2[[#This Row],[internal_order]],"00")</f>
        <v>0403</v>
      </c>
      <c r="J38" s="15"/>
      <c r="K38" s="15">
        <f>Tabelle2[[#This Row],[propertyID]]</f>
        <v>36</v>
      </c>
      <c r="L38" s="15"/>
      <c r="M38" s="15"/>
      <c r="O38" s="14">
        <v>1</v>
      </c>
      <c r="P38" s="14">
        <f>Tabelle2[[#This Row],[propertyID]]</f>
        <v>36</v>
      </c>
      <c r="Q38" s="14">
        <v>0</v>
      </c>
      <c r="R38" s="14" t="s">
        <v>943</v>
      </c>
      <c r="S38" t="s">
        <v>1152</v>
      </c>
      <c r="T38" s="14"/>
      <c r="U38" s="14"/>
      <c r="V38" s="14"/>
      <c r="W38" s="14">
        <v>0</v>
      </c>
      <c r="X38" s="14"/>
    </row>
    <row r="39" spans="1:24" x14ac:dyDescent="0.25">
      <c r="A39">
        <v>37</v>
      </c>
      <c r="B39">
        <v>4</v>
      </c>
      <c r="C39" t="s">
        <v>1190</v>
      </c>
      <c r="D39" t="s">
        <v>1209</v>
      </c>
      <c r="E39" t="s">
        <v>41</v>
      </c>
      <c r="F39" s="14" t="s">
        <v>922</v>
      </c>
      <c r="G39" t="s">
        <v>1052</v>
      </c>
      <c r="H39" s="23">
        <v>4</v>
      </c>
      <c r="I39" s="14" t="str">
        <f>TEXT(Tabelle2[[#This Row],[category]],"00")&amp;TEXT(Tabelle2[[#This Row],[internal_order]],"00")</f>
        <v>0404</v>
      </c>
      <c r="J39" s="15">
        <v>2</v>
      </c>
      <c r="K39" s="15">
        <f>Tabelle2[[#This Row],[propertyID]]</f>
        <v>37</v>
      </c>
      <c r="L39" s="15">
        <v>0</v>
      </c>
      <c r="M39" s="15" t="s">
        <v>1306</v>
      </c>
      <c r="O39" s="14">
        <v>1</v>
      </c>
      <c r="P39" s="14">
        <f>Tabelle2[[#This Row],[propertyID]]</f>
        <v>37</v>
      </c>
      <c r="Q39" s="14">
        <v>0</v>
      </c>
      <c r="R39" s="14" t="s">
        <v>68</v>
      </c>
      <c r="S39" t="s">
        <v>1152</v>
      </c>
      <c r="T39" s="14"/>
      <c r="U39" s="14"/>
      <c r="V39" s="14"/>
      <c r="W39" s="14">
        <v>0</v>
      </c>
      <c r="X39" s="14"/>
    </row>
    <row r="40" spans="1:24" x14ac:dyDescent="0.25">
      <c r="A40">
        <v>38</v>
      </c>
      <c r="B40">
        <v>4</v>
      </c>
      <c r="C40" t="s">
        <v>1164</v>
      </c>
      <c r="D40" t="s">
        <v>1167</v>
      </c>
      <c r="E40" t="s">
        <v>38</v>
      </c>
      <c r="F40" s="14" t="s">
        <v>38</v>
      </c>
      <c r="G40" t="s">
        <v>1052</v>
      </c>
      <c r="H40" s="23">
        <v>5</v>
      </c>
      <c r="I40" s="14" t="str">
        <f>TEXT(Tabelle2[[#This Row],[category]],"00")&amp;TEXT(Tabelle2[[#This Row],[internal_order]],"00")</f>
        <v>0405</v>
      </c>
      <c r="J40" s="15">
        <v>2</v>
      </c>
      <c r="K40" s="15">
        <f>Tabelle2[[#This Row],[propertyID]]</f>
        <v>38</v>
      </c>
      <c r="L40" s="15">
        <v>3</v>
      </c>
      <c r="M40" s="15" t="s">
        <v>1101</v>
      </c>
      <c r="O40" s="14">
        <v>1</v>
      </c>
      <c r="P40" s="14">
        <f>Tabelle2[[#This Row],[propertyID]]</f>
        <v>38</v>
      </c>
      <c r="Q40" s="14">
        <v>5</v>
      </c>
      <c r="R40" s="14" t="s">
        <v>1146</v>
      </c>
      <c r="S40" t="s">
        <v>1152</v>
      </c>
      <c r="T40" s="14"/>
      <c r="U40" s="14"/>
      <c r="V40" s="14"/>
      <c r="W40" s="14">
        <v>0</v>
      </c>
      <c r="X40" s="14"/>
    </row>
    <row r="41" spans="1:24" x14ac:dyDescent="0.25">
      <c r="A41">
        <v>39</v>
      </c>
      <c r="B41">
        <v>4</v>
      </c>
      <c r="C41" t="s">
        <v>1068</v>
      </c>
      <c r="D41" t="s">
        <v>1085</v>
      </c>
      <c r="E41" t="s">
        <v>41</v>
      </c>
      <c r="F41" s="14" t="s">
        <v>922</v>
      </c>
      <c r="G41" t="s">
        <v>1052</v>
      </c>
      <c r="H41" s="23">
        <v>6</v>
      </c>
      <c r="I41" s="14" t="str">
        <f>TEXT(Tabelle2[[#This Row],[category]],"00")&amp;TEXT(Tabelle2[[#This Row],[internal_order]],"00")</f>
        <v>0406</v>
      </c>
      <c r="J41" s="15">
        <v>2</v>
      </c>
      <c r="K41" s="15">
        <f>Tabelle2[[#This Row],[propertyID]]</f>
        <v>39</v>
      </c>
      <c r="L41" s="15">
        <v>1.2629999999999999</v>
      </c>
      <c r="M41" s="15" t="s">
        <v>1093</v>
      </c>
      <c r="O41" s="14">
        <v>1</v>
      </c>
      <c r="P41" s="14">
        <f>Tabelle2[[#This Row],[propertyID]]</f>
        <v>39</v>
      </c>
      <c r="Q41" s="14">
        <v>1.25</v>
      </c>
      <c r="R41" s="14" t="s">
        <v>1145</v>
      </c>
      <c r="S41" t="s">
        <v>1152</v>
      </c>
      <c r="T41" s="14"/>
      <c r="U41" s="14"/>
      <c r="V41" s="14"/>
      <c r="W41" s="14">
        <v>0</v>
      </c>
      <c r="X41" s="14"/>
    </row>
    <row r="42" spans="1:24" x14ac:dyDescent="0.25">
      <c r="A42">
        <v>40</v>
      </c>
      <c r="B42">
        <v>4</v>
      </c>
      <c r="C42" t="s">
        <v>1186</v>
      </c>
      <c r="D42" t="s">
        <v>1204</v>
      </c>
      <c r="E42" t="s">
        <v>41</v>
      </c>
      <c r="F42" s="14" t="s">
        <v>922</v>
      </c>
      <c r="G42" t="s">
        <v>1052</v>
      </c>
      <c r="H42" s="23">
        <v>7</v>
      </c>
      <c r="I42" s="14" t="str">
        <f>TEXT(Tabelle2[[#This Row],[category]],"00")&amp;TEXT(Tabelle2[[#This Row],[internal_order]],"00")</f>
        <v>0407</v>
      </c>
      <c r="J42" s="15">
        <v>2</v>
      </c>
      <c r="K42" s="15">
        <f>Tabelle2[[#This Row],[propertyID]]</f>
        <v>40</v>
      </c>
      <c r="L42" s="15">
        <v>0</v>
      </c>
      <c r="M42" s="15" t="s">
        <v>59</v>
      </c>
      <c r="O42" s="14">
        <v>1</v>
      </c>
      <c r="P42" s="14">
        <f>Tabelle2[[#This Row],[propertyID]]</f>
        <v>40</v>
      </c>
      <c r="Q42" s="14">
        <v>0</v>
      </c>
      <c r="R42" s="14" t="s">
        <v>59</v>
      </c>
      <c r="S42" t="s">
        <v>1152</v>
      </c>
      <c r="T42" s="14"/>
      <c r="U42" s="14"/>
      <c r="V42" s="14"/>
      <c r="W42" s="14">
        <v>0</v>
      </c>
      <c r="X42" s="14"/>
    </row>
    <row r="43" spans="1:24" x14ac:dyDescent="0.25">
      <c r="A43">
        <v>41</v>
      </c>
      <c r="B43">
        <v>4</v>
      </c>
      <c r="C43" t="s">
        <v>1575</v>
      </c>
      <c r="D43" t="s">
        <v>1205</v>
      </c>
      <c r="E43" t="s">
        <v>41</v>
      </c>
      <c r="F43" s="14" t="s">
        <v>922</v>
      </c>
      <c r="G43" t="s">
        <v>1052</v>
      </c>
      <c r="H43" s="23">
        <v>8</v>
      </c>
      <c r="I43" s="14" t="str">
        <f>TEXT(Tabelle2[[#This Row],[category]],"00")&amp;TEXT(Tabelle2[[#This Row],[internal_order]],"00")</f>
        <v>0408</v>
      </c>
      <c r="J43" s="15">
        <v>2</v>
      </c>
      <c r="K43" s="15">
        <f>Tabelle2[[#This Row],[propertyID]]</f>
        <v>41</v>
      </c>
      <c r="L43" s="15">
        <v>0</v>
      </c>
      <c r="M43" s="15" t="s">
        <v>1339</v>
      </c>
      <c r="O43" s="14">
        <v>1</v>
      </c>
      <c r="P43" s="14">
        <f>Tabelle2[[#This Row],[propertyID]]</f>
        <v>41</v>
      </c>
      <c r="Q43" s="14">
        <v>0</v>
      </c>
      <c r="R43" s="14" t="s">
        <v>70</v>
      </c>
      <c r="S43" t="s">
        <v>1152</v>
      </c>
      <c r="T43" s="14"/>
      <c r="U43" s="14"/>
      <c r="V43" s="14"/>
      <c r="W43" s="14">
        <v>0</v>
      </c>
      <c r="X43" s="14"/>
    </row>
    <row r="44" spans="1:24" x14ac:dyDescent="0.25">
      <c r="A44">
        <v>42</v>
      </c>
      <c r="B44">
        <v>4</v>
      </c>
      <c r="C44" t="s">
        <v>1185</v>
      </c>
      <c r="D44" t="s">
        <v>1203</v>
      </c>
      <c r="E44" t="s">
        <v>61</v>
      </c>
      <c r="F44" s="14" t="s">
        <v>997</v>
      </c>
      <c r="G44" t="s">
        <v>1052</v>
      </c>
      <c r="H44" s="23">
        <v>9</v>
      </c>
      <c r="I44" s="14" t="str">
        <f>TEXT(Tabelle2[[#This Row],[category]],"00")&amp;TEXT(Tabelle2[[#This Row],[internal_order]],"00")</f>
        <v>0409</v>
      </c>
      <c r="J44" s="15">
        <v>2</v>
      </c>
      <c r="K44" s="15">
        <f>Tabelle2[[#This Row],[propertyID]]</f>
        <v>42</v>
      </c>
      <c r="L44" s="15">
        <v>0</v>
      </c>
      <c r="M44" s="15" t="s">
        <v>62</v>
      </c>
      <c r="O44" s="14">
        <v>1</v>
      </c>
      <c r="P44" s="14">
        <f>Tabelle2[[#This Row],[propertyID]]</f>
        <v>42</v>
      </c>
      <c r="Q44" s="14">
        <v>0</v>
      </c>
      <c r="R44" s="14" t="s">
        <v>62</v>
      </c>
      <c r="S44" t="s">
        <v>1152</v>
      </c>
      <c r="T44" s="14"/>
      <c r="U44" s="14"/>
      <c r="V44" s="14"/>
      <c r="W44" s="14">
        <v>0</v>
      </c>
      <c r="X44" s="14"/>
    </row>
    <row r="45" spans="1:24" x14ac:dyDescent="0.25">
      <c r="A45">
        <v>43</v>
      </c>
      <c r="B45">
        <v>4</v>
      </c>
      <c r="C45" t="s">
        <v>1193</v>
      </c>
      <c r="D45" t="s">
        <v>1213</v>
      </c>
      <c r="E45" t="s">
        <v>41</v>
      </c>
      <c r="F45" s="14" t="s">
        <v>922</v>
      </c>
      <c r="G45" t="s">
        <v>1052</v>
      </c>
      <c r="H45" s="23">
        <v>10</v>
      </c>
      <c r="I45" s="14" t="str">
        <f>TEXT(Tabelle2[[#This Row],[category]],"00")&amp;TEXT(Tabelle2[[#This Row],[internal_order]],"00")</f>
        <v>0410</v>
      </c>
      <c r="J45" s="15">
        <v>2</v>
      </c>
      <c r="K45" s="15">
        <f>Tabelle2[[#This Row],[propertyID]]</f>
        <v>43</v>
      </c>
      <c r="L45" s="15">
        <v>0</v>
      </c>
      <c r="M45" s="15" t="s">
        <v>1309</v>
      </c>
      <c r="N45" t="s">
        <v>1302</v>
      </c>
      <c r="O45" s="14"/>
      <c r="P45" s="14">
        <f>Tabelle2[[#This Row],[propertyID]]</f>
        <v>43</v>
      </c>
      <c r="Q45" s="14">
        <v>0</v>
      </c>
      <c r="R45" s="14" t="s">
        <v>57</v>
      </c>
      <c r="S45" t="s">
        <v>1152</v>
      </c>
      <c r="T45" s="14"/>
      <c r="U45" s="14"/>
      <c r="V45" s="14"/>
      <c r="W45" s="14">
        <v>0</v>
      </c>
      <c r="X45" s="14"/>
    </row>
    <row r="46" spans="1:24" x14ac:dyDescent="0.25">
      <c r="A46">
        <v>44</v>
      </c>
      <c r="B46">
        <v>4</v>
      </c>
      <c r="C46" t="s">
        <v>1194</v>
      </c>
      <c r="D46" t="s">
        <v>1214</v>
      </c>
      <c r="E46" t="s">
        <v>41</v>
      </c>
      <c r="F46" s="14" t="s">
        <v>922</v>
      </c>
      <c r="G46" t="s">
        <v>1052</v>
      </c>
      <c r="H46" s="23">
        <v>11</v>
      </c>
      <c r="I46" s="14" t="str">
        <f>TEXT(Tabelle2[[#This Row],[category]],"00")&amp;TEXT(Tabelle2[[#This Row],[internal_order]],"00")</f>
        <v>0411</v>
      </c>
      <c r="J46" s="15">
        <v>2</v>
      </c>
      <c r="K46" s="15">
        <f>Tabelle2[[#This Row],[propertyID]]</f>
        <v>44</v>
      </c>
      <c r="L46" s="15">
        <v>792</v>
      </c>
      <c r="M46" s="15" t="s">
        <v>1312</v>
      </c>
      <c r="N46" t="s">
        <v>1302</v>
      </c>
      <c r="O46" s="14"/>
      <c r="P46" s="14">
        <f>Tabelle2[[#This Row],[propertyID]]</f>
        <v>44</v>
      </c>
      <c r="Q46" s="14">
        <v>0</v>
      </c>
      <c r="R46" s="14" t="s">
        <v>942</v>
      </c>
      <c r="S46" t="s">
        <v>1152</v>
      </c>
      <c r="T46" s="14"/>
      <c r="U46" s="14"/>
      <c r="V46" s="14"/>
      <c r="W46" s="14">
        <v>0</v>
      </c>
      <c r="X46" s="14"/>
    </row>
    <row r="47" spans="1:24" x14ac:dyDescent="0.25">
      <c r="A47">
        <v>45</v>
      </c>
      <c r="B47">
        <v>4</v>
      </c>
      <c r="C47" t="s">
        <v>1195</v>
      </c>
      <c r="D47" t="s">
        <v>1215</v>
      </c>
      <c r="E47" t="s">
        <v>41</v>
      </c>
      <c r="F47" s="14" t="s">
        <v>922</v>
      </c>
      <c r="G47" t="s">
        <v>1052</v>
      </c>
      <c r="H47" s="23">
        <v>12</v>
      </c>
      <c r="I47" s="14" t="str">
        <f>TEXT(Tabelle2[[#This Row],[category]],"00")&amp;TEXT(Tabelle2[[#This Row],[internal_order]],"00")</f>
        <v>0412</v>
      </c>
      <c r="J47" s="15"/>
      <c r="K47" s="15">
        <f>Tabelle2[[#This Row],[propertyID]]</f>
        <v>45</v>
      </c>
      <c r="L47" s="15"/>
      <c r="M47" s="15"/>
      <c r="O47" s="14"/>
      <c r="P47" s="14">
        <f>Tabelle2[[#This Row],[propertyID]]</f>
        <v>45</v>
      </c>
      <c r="Q47" s="14">
        <v>0</v>
      </c>
      <c r="R47" s="14" t="s">
        <v>943</v>
      </c>
      <c r="S47" t="s">
        <v>1152</v>
      </c>
      <c r="T47" s="14"/>
      <c r="U47" s="14"/>
      <c r="V47" s="14"/>
      <c r="W47" s="14">
        <v>0</v>
      </c>
      <c r="X47" s="14"/>
    </row>
    <row r="48" spans="1:24" x14ac:dyDescent="0.25">
      <c r="A48">
        <v>46</v>
      </c>
      <c r="B48">
        <v>4</v>
      </c>
      <c r="C48" t="s">
        <v>1196</v>
      </c>
      <c r="D48" t="s">
        <v>1216</v>
      </c>
      <c r="E48" t="s">
        <v>41</v>
      </c>
      <c r="F48" s="14" t="s">
        <v>922</v>
      </c>
      <c r="G48" t="s">
        <v>1052</v>
      </c>
      <c r="H48" s="23">
        <v>13</v>
      </c>
      <c r="I48" s="14" t="str">
        <f>TEXT(Tabelle2[[#This Row],[category]],"00")&amp;TEXT(Tabelle2[[#This Row],[internal_order]],"00")</f>
        <v>0413</v>
      </c>
      <c r="J48" s="15">
        <v>2</v>
      </c>
      <c r="K48" s="15">
        <f>Tabelle2[[#This Row],[propertyID]]</f>
        <v>46</v>
      </c>
      <c r="L48" s="15">
        <v>0</v>
      </c>
      <c r="M48" s="15" t="s">
        <v>1307</v>
      </c>
      <c r="O48" s="14"/>
      <c r="P48" s="14">
        <f>Tabelle2[[#This Row],[propertyID]]</f>
        <v>46</v>
      </c>
      <c r="Q48" s="14">
        <v>0</v>
      </c>
      <c r="R48" s="14" t="s">
        <v>68</v>
      </c>
      <c r="S48" t="s">
        <v>1152</v>
      </c>
      <c r="T48" s="14"/>
      <c r="U48" s="14"/>
      <c r="V48" s="14"/>
      <c r="W48" s="14">
        <v>0</v>
      </c>
      <c r="X48" s="14"/>
    </row>
    <row r="49" spans="1:24" x14ac:dyDescent="0.25">
      <c r="A49">
        <v>47</v>
      </c>
      <c r="B49">
        <v>4</v>
      </c>
      <c r="C49" t="s">
        <v>1165</v>
      </c>
      <c r="D49" t="s">
        <v>1168</v>
      </c>
      <c r="E49" t="s">
        <v>38</v>
      </c>
      <c r="F49" s="14" t="s">
        <v>38</v>
      </c>
      <c r="G49" t="s">
        <v>1052</v>
      </c>
      <c r="H49" s="23">
        <v>14</v>
      </c>
      <c r="I49" s="14" t="str">
        <f>TEXT(Tabelle2[[#This Row],[category]],"00")&amp;TEXT(Tabelle2[[#This Row],[internal_order]],"00")</f>
        <v>0414</v>
      </c>
      <c r="J49" s="15">
        <v>2</v>
      </c>
      <c r="K49" s="15">
        <f>Tabelle2[[#This Row],[propertyID]]</f>
        <v>47</v>
      </c>
      <c r="L49" s="15">
        <v>2</v>
      </c>
      <c r="M49" s="15" t="s">
        <v>1102</v>
      </c>
      <c r="O49" s="14"/>
      <c r="P49" s="14">
        <f>Tabelle2[[#This Row],[propertyID]]</f>
        <v>47</v>
      </c>
      <c r="Q49" s="14">
        <v>0</v>
      </c>
      <c r="R49" s="14"/>
      <c r="S49" t="s">
        <v>1152</v>
      </c>
      <c r="T49" s="14"/>
      <c r="U49" s="14"/>
      <c r="V49" s="14"/>
      <c r="W49" s="14">
        <v>0</v>
      </c>
      <c r="X49" s="14"/>
    </row>
    <row r="50" spans="1:24" x14ac:dyDescent="0.25">
      <c r="A50">
        <v>48</v>
      </c>
      <c r="B50">
        <v>4</v>
      </c>
      <c r="C50" t="s">
        <v>1069</v>
      </c>
      <c r="D50" t="s">
        <v>1084</v>
      </c>
      <c r="E50" t="s">
        <v>41</v>
      </c>
      <c r="F50" s="14" t="s">
        <v>922</v>
      </c>
      <c r="G50" t="s">
        <v>1052</v>
      </c>
      <c r="H50" s="23">
        <v>15</v>
      </c>
      <c r="I50" s="14" t="str">
        <f>TEXT(Tabelle2[[#This Row],[category]],"00")&amp;TEXT(Tabelle2[[#This Row],[internal_order]],"00")</f>
        <v>0415</v>
      </c>
      <c r="J50" s="15">
        <v>2</v>
      </c>
      <c r="K50" s="15">
        <f>Tabelle2[[#This Row],[propertyID]]</f>
        <v>48</v>
      </c>
      <c r="L50" s="15">
        <v>0.79</v>
      </c>
      <c r="M50" s="15" t="s">
        <v>1094</v>
      </c>
      <c r="O50" s="14"/>
      <c r="P50" s="14">
        <f>Tabelle2[[#This Row],[propertyID]]</f>
        <v>48</v>
      </c>
      <c r="Q50" s="14"/>
      <c r="R50" s="14"/>
      <c r="S50" t="s">
        <v>1152</v>
      </c>
      <c r="T50" s="14"/>
      <c r="U50" s="14"/>
      <c r="V50" s="14"/>
      <c r="W50" s="14">
        <v>0</v>
      </c>
      <c r="X50" s="14"/>
    </row>
    <row r="51" spans="1:24" x14ac:dyDescent="0.25">
      <c r="A51">
        <v>49</v>
      </c>
      <c r="B51">
        <v>4</v>
      </c>
      <c r="C51" t="s">
        <v>1192</v>
      </c>
      <c r="D51" t="s">
        <v>1211</v>
      </c>
      <c r="E51" t="s">
        <v>41</v>
      </c>
      <c r="F51" s="14" t="s">
        <v>922</v>
      </c>
      <c r="G51" t="s">
        <v>1052</v>
      </c>
      <c r="H51" s="23">
        <v>16</v>
      </c>
      <c r="I51" s="14" t="str">
        <f>TEXT(Tabelle2[[#This Row],[category]],"00")&amp;TEXT(Tabelle2[[#This Row],[internal_order]],"00")</f>
        <v>0416</v>
      </c>
      <c r="J51" s="15">
        <v>2</v>
      </c>
      <c r="K51" s="15">
        <f>Tabelle2[[#This Row],[propertyID]]</f>
        <v>49</v>
      </c>
      <c r="L51" s="15">
        <v>0</v>
      </c>
      <c r="M51" s="15" t="s">
        <v>59</v>
      </c>
      <c r="O51" s="14"/>
      <c r="P51" s="14">
        <f>Tabelle2[[#This Row],[propertyID]]</f>
        <v>49</v>
      </c>
      <c r="Q51" s="14">
        <v>0</v>
      </c>
      <c r="R51" s="14" t="s">
        <v>59</v>
      </c>
      <c r="S51" t="s">
        <v>1152</v>
      </c>
      <c r="T51" s="14"/>
      <c r="U51" s="14"/>
      <c r="V51" s="14"/>
      <c r="W51" s="14">
        <v>0</v>
      </c>
      <c r="X51" s="14"/>
    </row>
    <row r="52" spans="1:24" x14ac:dyDescent="0.25">
      <c r="A52">
        <v>50</v>
      </c>
      <c r="B52">
        <v>4</v>
      </c>
      <c r="C52" t="s">
        <v>1576</v>
      </c>
      <c r="D52" t="s">
        <v>1212</v>
      </c>
      <c r="E52" t="s">
        <v>41</v>
      </c>
      <c r="F52" s="14" t="s">
        <v>922</v>
      </c>
      <c r="G52" t="s">
        <v>1052</v>
      </c>
      <c r="H52" s="23">
        <v>17</v>
      </c>
      <c r="I52" s="14" t="str">
        <f>TEXT(Tabelle2[[#This Row],[category]],"00")&amp;TEXT(Tabelle2[[#This Row],[internal_order]],"00")</f>
        <v>0417</v>
      </c>
      <c r="J52" s="15">
        <v>2</v>
      </c>
      <c r="K52" s="15">
        <f>Tabelle2[[#This Row],[propertyID]]</f>
        <v>50</v>
      </c>
      <c r="L52" s="15">
        <v>0</v>
      </c>
      <c r="M52" s="15" t="s">
        <v>1340</v>
      </c>
      <c r="O52" s="14"/>
      <c r="P52" s="14">
        <f>Tabelle2[[#This Row],[propertyID]]</f>
        <v>50</v>
      </c>
      <c r="Q52" s="14">
        <v>0</v>
      </c>
      <c r="R52" s="14" t="s">
        <v>70</v>
      </c>
      <c r="S52" t="s">
        <v>1152</v>
      </c>
      <c r="T52" s="14"/>
      <c r="U52" s="14"/>
      <c r="V52" s="14"/>
      <c r="W52" s="14">
        <v>0</v>
      </c>
      <c r="X52" s="14"/>
    </row>
    <row r="53" spans="1:24" x14ac:dyDescent="0.25">
      <c r="A53">
        <v>51</v>
      </c>
      <c r="B53">
        <v>4</v>
      </c>
      <c r="C53" t="s">
        <v>1191</v>
      </c>
      <c r="D53" t="s">
        <v>1210</v>
      </c>
      <c r="E53" t="s">
        <v>61</v>
      </c>
      <c r="F53" s="14" t="s">
        <v>997</v>
      </c>
      <c r="G53" t="s">
        <v>1052</v>
      </c>
      <c r="H53" s="23">
        <v>18</v>
      </c>
      <c r="I53" s="14" t="str">
        <f>TEXT(Tabelle2[[#This Row],[category]],"00")&amp;TEXT(Tabelle2[[#This Row],[internal_order]],"00")</f>
        <v>0418</v>
      </c>
      <c r="J53" s="15">
        <v>2</v>
      </c>
      <c r="K53" s="15">
        <f>Tabelle2[[#This Row],[propertyID]]</f>
        <v>51</v>
      </c>
      <c r="L53" s="15">
        <v>0</v>
      </c>
      <c r="M53" s="15" t="s">
        <v>62</v>
      </c>
      <c r="O53" s="14"/>
      <c r="P53" s="14">
        <f>Tabelle2[[#This Row],[propertyID]]</f>
        <v>51</v>
      </c>
      <c r="Q53" s="14">
        <v>0</v>
      </c>
      <c r="R53" s="14" t="s">
        <v>62</v>
      </c>
      <c r="S53" t="s">
        <v>1152</v>
      </c>
      <c r="T53" s="14"/>
      <c r="U53" s="14"/>
      <c r="V53" s="14"/>
      <c r="W53" s="14">
        <v>0</v>
      </c>
      <c r="X53" s="14"/>
    </row>
    <row r="54" spans="1:24" x14ac:dyDescent="0.25">
      <c r="A54">
        <v>52</v>
      </c>
      <c r="B54">
        <v>4</v>
      </c>
      <c r="C54" t="s">
        <v>1199</v>
      </c>
      <c r="D54" t="s">
        <v>1220</v>
      </c>
      <c r="E54" t="s">
        <v>41</v>
      </c>
      <c r="F54" s="14" t="s">
        <v>922</v>
      </c>
      <c r="G54" t="s">
        <v>1052</v>
      </c>
      <c r="H54" s="23">
        <v>19</v>
      </c>
      <c r="I54" s="14" t="str">
        <f>TEXT(Tabelle2[[#This Row],[category]],"00")&amp;TEXT(Tabelle2[[#This Row],[internal_order]],"00")</f>
        <v>0419</v>
      </c>
      <c r="J54" s="15"/>
      <c r="K54" s="15">
        <f>Tabelle2[[#This Row],[propertyID]]</f>
        <v>52</v>
      </c>
      <c r="L54" s="15"/>
      <c r="M54" s="15" t="s">
        <v>1310</v>
      </c>
      <c r="O54" s="14"/>
      <c r="P54" s="14">
        <f>Tabelle2[[#This Row],[propertyID]]</f>
        <v>52</v>
      </c>
      <c r="Q54" s="14">
        <v>0</v>
      </c>
      <c r="R54" s="14" t="s">
        <v>57</v>
      </c>
      <c r="S54" t="s">
        <v>1152</v>
      </c>
      <c r="T54" s="14"/>
      <c r="U54" s="14"/>
      <c r="V54" s="14"/>
      <c r="W54" s="14">
        <v>0</v>
      </c>
      <c r="X54" s="14"/>
    </row>
    <row r="55" spans="1:24" x14ac:dyDescent="0.25">
      <c r="A55">
        <v>53</v>
      </c>
      <c r="B55">
        <v>4</v>
      </c>
      <c r="C55" t="s">
        <v>1200</v>
      </c>
      <c r="D55" t="s">
        <v>1221</v>
      </c>
      <c r="E55" t="s">
        <v>41</v>
      </c>
      <c r="F55" s="14" t="s">
        <v>922</v>
      </c>
      <c r="G55" t="s">
        <v>1052</v>
      </c>
      <c r="H55" s="23">
        <v>20</v>
      </c>
      <c r="I55" s="14" t="str">
        <f>TEXT(Tabelle2[[#This Row],[category]],"00")&amp;TEXT(Tabelle2[[#This Row],[internal_order]],"00")</f>
        <v>0420</v>
      </c>
      <c r="J55" s="15"/>
      <c r="K55" s="15">
        <f>Tabelle2[[#This Row],[propertyID]]</f>
        <v>53</v>
      </c>
      <c r="L55" s="15"/>
      <c r="M55" s="15" t="s">
        <v>1313</v>
      </c>
      <c r="O55" s="14"/>
      <c r="P55" s="14">
        <f>Tabelle2[[#This Row],[propertyID]]</f>
        <v>53</v>
      </c>
      <c r="Q55" s="14">
        <v>0</v>
      </c>
      <c r="R55" s="14" t="s">
        <v>942</v>
      </c>
      <c r="S55" t="s">
        <v>1152</v>
      </c>
      <c r="T55" s="14"/>
      <c r="U55" s="14"/>
      <c r="V55" s="14"/>
      <c r="W55" s="14">
        <v>0</v>
      </c>
      <c r="X55" s="14"/>
    </row>
    <row r="56" spans="1:24" x14ac:dyDescent="0.25">
      <c r="A56">
        <v>54</v>
      </c>
      <c r="B56">
        <v>4</v>
      </c>
      <c r="C56" t="s">
        <v>1201</v>
      </c>
      <c r="D56" t="s">
        <v>1222</v>
      </c>
      <c r="E56" t="s">
        <v>41</v>
      </c>
      <c r="F56" s="14" t="s">
        <v>922</v>
      </c>
      <c r="G56" t="s">
        <v>1052</v>
      </c>
      <c r="H56" s="23">
        <v>21</v>
      </c>
      <c r="I56" s="14" t="str">
        <f>TEXT(Tabelle2[[#This Row],[category]],"00")&amp;TEXT(Tabelle2[[#This Row],[internal_order]],"00")</f>
        <v>0421</v>
      </c>
      <c r="J56" s="15"/>
      <c r="K56" s="15">
        <f>Tabelle2[[#This Row],[propertyID]]</f>
        <v>54</v>
      </c>
      <c r="L56" s="15"/>
      <c r="M56" s="15"/>
      <c r="O56" s="14"/>
      <c r="P56" s="14">
        <f>Tabelle2[[#This Row],[propertyID]]</f>
        <v>54</v>
      </c>
      <c r="Q56" s="14">
        <v>0</v>
      </c>
      <c r="R56" s="14" t="s">
        <v>943</v>
      </c>
      <c r="S56" t="s">
        <v>1152</v>
      </c>
      <c r="T56" s="14"/>
      <c r="U56" s="14"/>
      <c r="V56" s="14"/>
      <c r="W56" s="14">
        <v>0</v>
      </c>
      <c r="X56" s="14"/>
    </row>
    <row r="57" spans="1:24" x14ac:dyDescent="0.25">
      <c r="A57">
        <v>55</v>
      </c>
      <c r="B57">
        <v>4</v>
      </c>
      <c r="C57" t="s">
        <v>1202</v>
      </c>
      <c r="D57" t="s">
        <v>1223</v>
      </c>
      <c r="E57" t="s">
        <v>41</v>
      </c>
      <c r="F57" s="14" t="s">
        <v>922</v>
      </c>
      <c r="G57" t="s">
        <v>1052</v>
      </c>
      <c r="H57" s="23">
        <v>22</v>
      </c>
      <c r="I57" s="14" t="str">
        <f>TEXT(Tabelle2[[#This Row],[category]],"00")&amp;TEXT(Tabelle2[[#This Row],[internal_order]],"00")</f>
        <v>0422</v>
      </c>
      <c r="J57" s="15"/>
      <c r="K57" s="15">
        <f>Tabelle2[[#This Row],[propertyID]]</f>
        <v>55</v>
      </c>
      <c r="L57" s="15"/>
      <c r="M57" s="15"/>
      <c r="O57" s="14"/>
      <c r="P57" s="14">
        <f>Tabelle2[[#This Row],[propertyID]]</f>
        <v>55</v>
      </c>
      <c r="Q57" s="14">
        <v>0</v>
      </c>
      <c r="R57" s="14" t="s">
        <v>68</v>
      </c>
      <c r="S57" t="s">
        <v>1152</v>
      </c>
      <c r="T57" s="14"/>
      <c r="U57" s="14"/>
      <c r="V57" s="14"/>
      <c r="W57" s="14">
        <v>0</v>
      </c>
      <c r="X57" s="14"/>
    </row>
    <row r="58" spans="1:24" x14ac:dyDescent="0.25">
      <c r="A58">
        <v>56</v>
      </c>
      <c r="B58">
        <v>4</v>
      </c>
      <c r="C58" t="s">
        <v>1166</v>
      </c>
      <c r="D58" t="s">
        <v>1169</v>
      </c>
      <c r="E58" t="s">
        <v>38</v>
      </c>
      <c r="F58" s="14" t="s">
        <v>38</v>
      </c>
      <c r="G58" t="s">
        <v>1052</v>
      </c>
      <c r="H58" s="23">
        <v>23</v>
      </c>
      <c r="I58" s="14" t="str">
        <f>TEXT(Tabelle2[[#This Row],[category]],"00")&amp;TEXT(Tabelle2[[#This Row],[internal_order]],"00")</f>
        <v>0423</v>
      </c>
      <c r="J58" s="15"/>
      <c r="K58" s="15">
        <f>Tabelle2[[#This Row],[propertyID]]</f>
        <v>56</v>
      </c>
      <c r="L58" s="15"/>
      <c r="M58" s="15"/>
      <c r="O58" s="14"/>
      <c r="P58" s="14">
        <f>Tabelle2[[#This Row],[propertyID]]</f>
        <v>56</v>
      </c>
      <c r="Q58" s="14">
        <v>0</v>
      </c>
      <c r="R58" s="14"/>
      <c r="S58" t="s">
        <v>1152</v>
      </c>
      <c r="T58" s="14"/>
      <c r="U58" s="14"/>
      <c r="V58" s="14"/>
      <c r="W58" s="14">
        <v>0</v>
      </c>
      <c r="X58" s="14"/>
    </row>
    <row r="59" spans="1:24" x14ac:dyDescent="0.25">
      <c r="A59">
        <v>57</v>
      </c>
      <c r="B59">
        <v>4</v>
      </c>
      <c r="C59" t="s">
        <v>1070</v>
      </c>
      <c r="D59" t="s">
        <v>1086</v>
      </c>
      <c r="E59" t="s">
        <v>41</v>
      </c>
      <c r="F59" s="14" t="s">
        <v>922</v>
      </c>
      <c r="G59" t="s">
        <v>1052</v>
      </c>
      <c r="H59" s="23">
        <v>24</v>
      </c>
      <c r="I59" s="14" t="str">
        <f>TEXT(Tabelle2[[#This Row],[category]],"00")&amp;TEXT(Tabelle2[[#This Row],[internal_order]],"00")</f>
        <v>0424</v>
      </c>
      <c r="J59" s="15"/>
      <c r="K59" s="15">
        <f>Tabelle2[[#This Row],[propertyID]]</f>
        <v>57</v>
      </c>
      <c r="L59" s="15"/>
      <c r="M59" s="15"/>
      <c r="O59" s="14"/>
      <c r="P59" s="14">
        <f>Tabelle2[[#This Row],[propertyID]]</f>
        <v>57</v>
      </c>
      <c r="Q59" s="14"/>
      <c r="R59" s="14"/>
      <c r="S59" t="s">
        <v>1152</v>
      </c>
      <c r="T59" s="14"/>
      <c r="U59" s="14"/>
      <c r="V59" s="14"/>
      <c r="W59" s="14">
        <v>0</v>
      </c>
      <c r="X59" s="14"/>
    </row>
    <row r="60" spans="1:24" x14ac:dyDescent="0.25">
      <c r="A60">
        <v>58</v>
      </c>
      <c r="B60">
        <v>4</v>
      </c>
      <c r="C60" t="s">
        <v>1198</v>
      </c>
      <c r="D60" t="s">
        <v>1218</v>
      </c>
      <c r="E60" t="s">
        <v>41</v>
      </c>
      <c r="F60" s="14" t="s">
        <v>922</v>
      </c>
      <c r="G60" t="s">
        <v>1052</v>
      </c>
      <c r="H60" s="23">
        <v>25</v>
      </c>
      <c r="I60" s="14" t="str">
        <f>TEXT(Tabelle2[[#This Row],[category]],"00")&amp;TEXT(Tabelle2[[#This Row],[internal_order]],"00")</f>
        <v>0425</v>
      </c>
      <c r="J60" s="15"/>
      <c r="K60" s="15">
        <f>Tabelle2[[#This Row],[propertyID]]</f>
        <v>58</v>
      </c>
      <c r="L60" s="15"/>
      <c r="M60" s="15"/>
      <c r="O60" s="14"/>
      <c r="P60" s="14">
        <f>Tabelle2[[#This Row],[propertyID]]</f>
        <v>58</v>
      </c>
      <c r="Q60" s="14">
        <v>0</v>
      </c>
      <c r="R60" s="14" t="s">
        <v>59</v>
      </c>
      <c r="S60" t="s">
        <v>1152</v>
      </c>
      <c r="T60" s="14"/>
      <c r="U60" s="14"/>
      <c r="V60" s="14"/>
      <c r="W60" s="14">
        <v>0</v>
      </c>
      <c r="X60" s="14"/>
    </row>
    <row r="61" spans="1:24" x14ac:dyDescent="0.25">
      <c r="A61">
        <v>59</v>
      </c>
      <c r="B61">
        <v>4</v>
      </c>
      <c r="C61" t="s">
        <v>1395</v>
      </c>
      <c r="D61" t="s">
        <v>1219</v>
      </c>
      <c r="E61" t="s">
        <v>41</v>
      </c>
      <c r="F61" s="14" t="s">
        <v>922</v>
      </c>
      <c r="G61" t="s">
        <v>1052</v>
      </c>
      <c r="H61" s="23">
        <v>26</v>
      </c>
      <c r="I61" s="14" t="str">
        <f>TEXT(Tabelle2[[#This Row],[category]],"00")&amp;TEXT(Tabelle2[[#This Row],[internal_order]],"00")</f>
        <v>0426</v>
      </c>
      <c r="J61" s="15"/>
      <c r="K61" s="15">
        <f>Tabelle2[[#This Row],[propertyID]]</f>
        <v>59</v>
      </c>
      <c r="L61" s="15"/>
      <c r="M61" s="15"/>
      <c r="O61" s="14"/>
      <c r="P61" s="14">
        <f>Tabelle2[[#This Row],[propertyID]]</f>
        <v>59</v>
      </c>
      <c r="Q61" s="14">
        <v>0</v>
      </c>
      <c r="R61" s="14" t="s">
        <v>70</v>
      </c>
      <c r="S61" t="s">
        <v>1152</v>
      </c>
      <c r="T61" s="14"/>
      <c r="U61" s="14"/>
      <c r="V61" s="14"/>
      <c r="W61" s="14">
        <v>0</v>
      </c>
      <c r="X61" s="14"/>
    </row>
    <row r="62" spans="1:24" x14ac:dyDescent="0.25">
      <c r="A62">
        <v>60</v>
      </c>
      <c r="B62">
        <v>4</v>
      </c>
      <c r="C62" t="s">
        <v>1197</v>
      </c>
      <c r="D62" t="s">
        <v>1217</v>
      </c>
      <c r="E62" t="s">
        <v>61</v>
      </c>
      <c r="F62" s="14" t="s">
        <v>997</v>
      </c>
      <c r="G62" t="s">
        <v>1052</v>
      </c>
      <c r="H62" s="23">
        <v>27</v>
      </c>
      <c r="I62" s="14" t="str">
        <f>TEXT(Tabelle2[[#This Row],[category]],"00")&amp;TEXT(Tabelle2[[#This Row],[internal_order]],"00")</f>
        <v>0427</v>
      </c>
      <c r="J62" s="15"/>
      <c r="K62" s="15">
        <f>Tabelle2[[#This Row],[propertyID]]</f>
        <v>60</v>
      </c>
      <c r="L62" s="15"/>
      <c r="M62" s="15"/>
      <c r="O62" s="14"/>
      <c r="P62" s="14">
        <f>Tabelle2[[#This Row],[propertyID]]</f>
        <v>60</v>
      </c>
      <c r="Q62" s="14">
        <v>0</v>
      </c>
      <c r="R62" s="14" t="s">
        <v>62</v>
      </c>
      <c r="S62" t="s">
        <v>1152</v>
      </c>
      <c r="T62" s="14"/>
      <c r="U62" s="14"/>
      <c r="V62" s="14"/>
      <c r="W62" s="14">
        <v>0</v>
      </c>
      <c r="X62" s="14"/>
    </row>
    <row r="63" spans="1:24" x14ac:dyDescent="0.25">
      <c r="A63">
        <v>61</v>
      </c>
      <c r="B63">
        <v>5</v>
      </c>
      <c r="C63" t="s">
        <v>1170</v>
      </c>
      <c r="D63" t="s">
        <v>1173</v>
      </c>
      <c r="E63" t="s">
        <v>26</v>
      </c>
      <c r="F63" s="14" t="s">
        <v>26</v>
      </c>
      <c r="G63" t="s">
        <v>1052</v>
      </c>
      <c r="H63" s="23">
        <v>1</v>
      </c>
      <c r="I63" s="14" t="str">
        <f>TEXT(Tabelle2[[#This Row],[category]],"00")&amp;TEXT(Tabelle2[[#This Row],[internal_order]],"00")</f>
        <v>0501</v>
      </c>
      <c r="J63" s="15">
        <v>2</v>
      </c>
      <c r="K63" s="15">
        <f>Tabelle2[[#This Row],[propertyID]]</f>
        <v>61</v>
      </c>
      <c r="L63" s="15">
        <v>0.5</v>
      </c>
      <c r="M63" s="15" t="s">
        <v>1176</v>
      </c>
      <c r="O63" s="14">
        <v>1</v>
      </c>
      <c r="P63" s="14">
        <f>Tabelle2[[#This Row],[propertyID]]</f>
        <v>61</v>
      </c>
      <c r="Q63" s="14">
        <v>0.1</v>
      </c>
      <c r="R63" s="14" t="s">
        <v>1176</v>
      </c>
      <c r="S63" t="s">
        <v>1153</v>
      </c>
      <c r="T63" s="14"/>
      <c r="U63" s="14"/>
      <c r="V63" s="14"/>
      <c r="W63" s="14">
        <v>0</v>
      </c>
      <c r="X63" s="14"/>
    </row>
    <row r="64" spans="1:24" x14ac:dyDescent="0.25">
      <c r="A64">
        <v>62</v>
      </c>
      <c r="B64">
        <v>5</v>
      </c>
      <c r="C64" t="s">
        <v>1071</v>
      </c>
      <c r="D64" t="s">
        <v>1078</v>
      </c>
      <c r="E64" t="s">
        <v>21</v>
      </c>
      <c r="F64" s="14" t="s">
        <v>923</v>
      </c>
      <c r="G64" t="s">
        <v>1052</v>
      </c>
      <c r="H64" s="23">
        <v>2</v>
      </c>
      <c r="I64" s="14" t="str">
        <f>TEXT(Tabelle2[[#This Row],[category]],"00")&amp;TEXT(Tabelle2[[#This Row],[internal_order]],"00")</f>
        <v>0502</v>
      </c>
      <c r="J64" s="15">
        <v>2</v>
      </c>
      <c r="K64" s="15">
        <f>Tabelle2[[#This Row],[propertyID]]</f>
        <v>62</v>
      </c>
      <c r="L64" s="15">
        <v>0.5</v>
      </c>
      <c r="M64" s="15" t="s">
        <v>1091</v>
      </c>
      <c r="O64" s="14">
        <v>1</v>
      </c>
      <c r="P64" s="14">
        <f>Tabelle2[[#This Row],[propertyID]]</f>
        <v>62</v>
      </c>
      <c r="Q64" s="14">
        <v>0.5</v>
      </c>
      <c r="R64" s="14" t="s">
        <v>1091</v>
      </c>
      <c r="S64" t="s">
        <v>1153</v>
      </c>
      <c r="T64" s="14"/>
      <c r="U64" s="14"/>
      <c r="V64" s="14"/>
      <c r="W64" s="14">
        <v>0</v>
      </c>
      <c r="X64" s="14"/>
    </row>
    <row r="65" spans="1:24" x14ac:dyDescent="0.25">
      <c r="A65">
        <v>63</v>
      </c>
      <c r="B65">
        <v>5</v>
      </c>
      <c r="C65" t="s">
        <v>1147</v>
      </c>
      <c r="D65" t="s">
        <v>1150</v>
      </c>
      <c r="E65" t="s">
        <v>326</v>
      </c>
      <c r="F65" s="14" t="s">
        <v>924</v>
      </c>
      <c r="G65" t="s">
        <v>1052</v>
      </c>
      <c r="H65" s="23">
        <v>3</v>
      </c>
      <c r="I65" s="14" t="str">
        <f>TEXT(Tabelle2[[#This Row],[category]],"00")&amp;TEXT(Tabelle2[[#This Row],[internal_order]],"00")</f>
        <v>0503</v>
      </c>
      <c r="J65" s="15">
        <v>2</v>
      </c>
      <c r="K65" s="15">
        <f>Tabelle2[[#This Row],[propertyID]]</f>
        <v>63</v>
      </c>
      <c r="L65" s="15">
        <v>0.1</v>
      </c>
      <c r="M65" s="15" t="s">
        <v>1105</v>
      </c>
      <c r="O65" s="14">
        <v>1</v>
      </c>
      <c r="P65" s="14">
        <f>Tabelle2[[#This Row],[propertyID]]</f>
        <v>63</v>
      </c>
      <c r="Q65" s="14">
        <v>0.1</v>
      </c>
      <c r="R65" s="14" t="s">
        <v>1105</v>
      </c>
      <c r="S65" t="s">
        <v>1153</v>
      </c>
      <c r="T65" s="14"/>
      <c r="U65" s="14"/>
      <c r="V65" s="14"/>
      <c r="W65" s="14">
        <v>0</v>
      </c>
      <c r="X65" s="14"/>
    </row>
    <row r="66" spans="1:24" x14ac:dyDescent="0.25">
      <c r="A66">
        <v>64</v>
      </c>
      <c r="B66">
        <v>5</v>
      </c>
      <c r="C66" t="s">
        <v>1171</v>
      </c>
      <c r="D66" t="s">
        <v>1174</v>
      </c>
      <c r="E66" t="s">
        <v>26</v>
      </c>
      <c r="F66" s="14" t="s">
        <v>26</v>
      </c>
      <c r="G66" t="s">
        <v>1052</v>
      </c>
      <c r="H66" s="23">
        <v>4</v>
      </c>
      <c r="I66" s="14" t="str">
        <f>TEXT(Tabelle2[[#This Row],[category]],"00")&amp;TEXT(Tabelle2[[#This Row],[internal_order]],"00")</f>
        <v>0504</v>
      </c>
      <c r="J66" s="15">
        <v>2</v>
      </c>
      <c r="K66" s="15">
        <f>Tabelle2[[#This Row],[propertyID]]</f>
        <v>64</v>
      </c>
      <c r="L66" s="15">
        <v>0.5</v>
      </c>
      <c r="M66" s="15" t="s">
        <v>1177</v>
      </c>
      <c r="O66" s="14"/>
      <c r="P66" s="14">
        <f>Tabelle2[[#This Row],[propertyID]]</f>
        <v>64</v>
      </c>
      <c r="Q66" s="14"/>
      <c r="R66" s="14" t="s">
        <v>1177</v>
      </c>
      <c r="S66" t="s">
        <v>1153</v>
      </c>
      <c r="T66" s="14"/>
      <c r="U66" s="14"/>
      <c r="V66" s="14"/>
      <c r="W66" s="14">
        <v>0</v>
      </c>
      <c r="X66" s="14"/>
    </row>
    <row r="67" spans="1:24" x14ac:dyDescent="0.25">
      <c r="A67">
        <v>65</v>
      </c>
      <c r="B67">
        <v>5</v>
      </c>
      <c r="C67" t="s">
        <v>1072</v>
      </c>
      <c r="D67" t="s">
        <v>1079</v>
      </c>
      <c r="E67" t="s">
        <v>21</v>
      </c>
      <c r="F67" s="14" t="s">
        <v>923</v>
      </c>
      <c r="G67" t="s">
        <v>1052</v>
      </c>
      <c r="H67" s="23">
        <v>5</v>
      </c>
      <c r="I67" s="14" t="str">
        <f>TEXT(Tabelle2[[#This Row],[category]],"00")&amp;TEXT(Tabelle2[[#This Row],[internal_order]],"00")</f>
        <v>0505</v>
      </c>
      <c r="J67" s="15">
        <v>2</v>
      </c>
      <c r="K67" s="15">
        <f>Tabelle2[[#This Row],[propertyID]]</f>
        <v>65</v>
      </c>
      <c r="L67" s="15">
        <v>0.5</v>
      </c>
      <c r="M67" s="15" t="s">
        <v>1092</v>
      </c>
      <c r="O67" s="14"/>
      <c r="P67" s="14">
        <f>Tabelle2[[#This Row],[propertyID]]</f>
        <v>65</v>
      </c>
      <c r="Q67" s="14"/>
      <c r="R67" s="14"/>
      <c r="S67" t="s">
        <v>1153</v>
      </c>
      <c r="T67" s="14"/>
      <c r="U67" s="14"/>
      <c r="V67" s="14"/>
      <c r="W67" s="14">
        <v>0</v>
      </c>
      <c r="X67" s="14"/>
    </row>
    <row r="68" spans="1:24" x14ac:dyDescent="0.25">
      <c r="A68">
        <v>66</v>
      </c>
      <c r="B68">
        <v>5</v>
      </c>
      <c r="C68" t="s">
        <v>1148</v>
      </c>
      <c r="D68" t="s">
        <v>1151</v>
      </c>
      <c r="E68" t="s">
        <v>326</v>
      </c>
      <c r="F68" s="14" t="s">
        <v>924</v>
      </c>
      <c r="G68" t="s">
        <v>1052</v>
      </c>
      <c r="H68" s="23">
        <v>6</v>
      </c>
      <c r="I68" s="14" t="str">
        <f>TEXT(Tabelle2[[#This Row],[category]],"00")&amp;TEXT(Tabelle2[[#This Row],[internal_order]],"00")</f>
        <v>0506</v>
      </c>
      <c r="J68" s="15">
        <v>2</v>
      </c>
      <c r="K68" s="15">
        <f>Tabelle2[[#This Row],[propertyID]]</f>
        <v>66</v>
      </c>
      <c r="L68" s="15">
        <v>0.05</v>
      </c>
      <c r="M68" s="15" t="s">
        <v>1106</v>
      </c>
      <c r="O68" s="14"/>
      <c r="P68" s="14">
        <f>Tabelle2[[#This Row],[propertyID]]</f>
        <v>66</v>
      </c>
      <c r="Q68" s="14"/>
      <c r="R68" s="14"/>
      <c r="S68" t="s">
        <v>1153</v>
      </c>
      <c r="T68" s="14"/>
      <c r="U68" s="14"/>
      <c r="V68" s="14"/>
      <c r="W68" s="14">
        <v>0</v>
      </c>
      <c r="X68" s="14"/>
    </row>
    <row r="69" spans="1:24" x14ac:dyDescent="0.25">
      <c r="A69">
        <v>67</v>
      </c>
      <c r="B69">
        <v>5</v>
      </c>
      <c r="C69" t="s">
        <v>1172</v>
      </c>
      <c r="D69" t="s">
        <v>1175</v>
      </c>
      <c r="E69" t="s">
        <v>26</v>
      </c>
      <c r="F69" s="14" t="s">
        <v>26</v>
      </c>
      <c r="G69" t="s">
        <v>1052</v>
      </c>
      <c r="H69" s="23">
        <v>7</v>
      </c>
      <c r="I69" s="14" t="str">
        <f>TEXT(Tabelle2[[#This Row],[category]],"00")&amp;TEXT(Tabelle2[[#This Row],[internal_order]],"00")</f>
        <v>0507</v>
      </c>
      <c r="J69" s="15"/>
      <c r="K69" s="15">
        <f>Tabelle2[[#This Row],[propertyID]]</f>
        <v>67</v>
      </c>
      <c r="L69" s="15"/>
      <c r="M69" s="15"/>
      <c r="O69" s="14"/>
      <c r="P69" s="14">
        <f>Tabelle2[[#This Row],[propertyID]]</f>
        <v>67</v>
      </c>
      <c r="Q69" s="14"/>
      <c r="R69" s="14" t="s">
        <v>1178</v>
      </c>
      <c r="S69" t="s">
        <v>1153</v>
      </c>
      <c r="T69" s="14"/>
      <c r="U69" s="14"/>
      <c r="V69" s="14"/>
      <c r="W69" s="14">
        <v>0</v>
      </c>
      <c r="X69" s="14"/>
    </row>
    <row r="70" spans="1:24" x14ac:dyDescent="0.25">
      <c r="A70">
        <v>68</v>
      </c>
      <c r="B70">
        <v>5</v>
      </c>
      <c r="C70" t="s">
        <v>1073</v>
      </c>
      <c r="D70" t="s">
        <v>1080</v>
      </c>
      <c r="E70" t="s">
        <v>21</v>
      </c>
      <c r="F70" s="14" t="s">
        <v>923</v>
      </c>
      <c r="G70" t="s">
        <v>1052</v>
      </c>
      <c r="H70" s="23">
        <v>8</v>
      </c>
      <c r="I70" s="14" t="str">
        <f>TEXT(Tabelle2[[#This Row],[category]],"00")&amp;TEXT(Tabelle2[[#This Row],[internal_order]],"00")</f>
        <v>0508</v>
      </c>
      <c r="J70" s="15"/>
      <c r="K70" s="15">
        <f>Tabelle2[[#This Row],[propertyID]]</f>
        <v>68</v>
      </c>
      <c r="L70" s="15"/>
      <c r="M70" s="15"/>
      <c r="O70" s="14"/>
      <c r="P70" s="14">
        <f>Tabelle2[[#This Row],[propertyID]]</f>
        <v>68</v>
      </c>
      <c r="Q70" s="14"/>
      <c r="R70" s="14"/>
      <c r="S70" t="s">
        <v>1153</v>
      </c>
      <c r="T70" s="14"/>
      <c r="U70" s="14"/>
      <c r="V70" s="14"/>
      <c r="W70" s="14">
        <v>0</v>
      </c>
      <c r="X70" s="14"/>
    </row>
    <row r="71" spans="1:24" x14ac:dyDescent="0.25">
      <c r="A71">
        <v>69</v>
      </c>
      <c r="B71">
        <v>5</v>
      </c>
      <c r="C71" t="s">
        <v>1149</v>
      </c>
      <c r="D71" t="s">
        <v>1530</v>
      </c>
      <c r="E71" t="s">
        <v>326</v>
      </c>
      <c r="F71" s="14" t="s">
        <v>924</v>
      </c>
      <c r="G71" t="s">
        <v>1052</v>
      </c>
      <c r="H71" s="23">
        <v>9</v>
      </c>
      <c r="I71" s="14" t="str">
        <f>TEXT(Tabelle2[[#This Row],[category]],"00")&amp;TEXT(Tabelle2[[#This Row],[internal_order]],"00")</f>
        <v>0509</v>
      </c>
      <c r="J71" s="15"/>
      <c r="K71" s="15">
        <f>Tabelle2[[#This Row],[propertyID]]</f>
        <v>69</v>
      </c>
      <c r="L71" s="15"/>
      <c r="M71" s="15"/>
      <c r="O71" s="14"/>
      <c r="P71" s="14">
        <f>Tabelle2[[#This Row],[propertyID]]</f>
        <v>69</v>
      </c>
      <c r="Q71" s="14"/>
      <c r="R71" s="14"/>
      <c r="S71" t="s">
        <v>1153</v>
      </c>
      <c r="T71" s="14"/>
      <c r="U71" s="14"/>
      <c r="V71" s="14"/>
      <c r="W71" s="14">
        <v>0</v>
      </c>
      <c r="X71" s="14"/>
    </row>
    <row r="72" spans="1:24" x14ac:dyDescent="0.25">
      <c r="A72">
        <v>70</v>
      </c>
      <c r="B72">
        <v>5</v>
      </c>
      <c r="C72" t="s">
        <v>1365</v>
      </c>
      <c r="D72" t="s">
        <v>1367</v>
      </c>
      <c r="F72" s="14"/>
      <c r="G72" t="s">
        <v>1052</v>
      </c>
      <c r="H72" s="23">
        <v>10</v>
      </c>
      <c r="I72" s="14" t="str">
        <f>TEXT(Tabelle2[[#This Row],[category]],"00")&amp;TEXT(Tabelle2[[#This Row],[internal_order]],"00")</f>
        <v>0510</v>
      </c>
      <c r="J72" s="15">
        <v>2</v>
      </c>
      <c r="K72" s="15">
        <f>Tabelle2[[#This Row],[propertyID]]</f>
        <v>70</v>
      </c>
      <c r="L72" s="15">
        <v>1</v>
      </c>
      <c r="M72" s="15" t="s">
        <v>1366</v>
      </c>
      <c r="O72" s="14">
        <v>1</v>
      </c>
      <c r="P72" s="14">
        <f>Tabelle2[[#This Row],[propertyID]]</f>
        <v>70</v>
      </c>
      <c r="Q72" s="14">
        <v>1</v>
      </c>
      <c r="R72" s="14" t="s">
        <v>1366</v>
      </c>
      <c r="T72" s="14"/>
      <c r="U72" s="14"/>
      <c r="V72" s="14"/>
      <c r="W72" s="14">
        <v>1</v>
      </c>
      <c r="X72" s="14"/>
    </row>
    <row r="73" spans="1:24" x14ac:dyDescent="0.25">
      <c r="A73">
        <v>71</v>
      </c>
      <c r="B73">
        <v>6</v>
      </c>
      <c r="C73" t="s">
        <v>124</v>
      </c>
      <c r="D73" t="s">
        <v>629</v>
      </c>
      <c r="E73" t="s">
        <v>61</v>
      </c>
      <c r="F73" s="14" t="s">
        <v>997</v>
      </c>
      <c r="G73" t="s">
        <v>1052</v>
      </c>
      <c r="H73" s="23">
        <v>1</v>
      </c>
      <c r="I73" s="14" t="str">
        <f>TEXT(Tabelle2[[#This Row],[category]],"00")&amp;TEXT(Tabelle2[[#This Row],[internal_order]],"00")</f>
        <v>0601</v>
      </c>
      <c r="J73" s="15">
        <v>2</v>
      </c>
      <c r="K73" s="15">
        <f>Tabelle2[[#This Row],[propertyID]]</f>
        <v>71</v>
      </c>
      <c r="L73" s="15">
        <v>0</v>
      </c>
      <c r="M73" s="15" t="s">
        <v>125</v>
      </c>
      <c r="O73" s="14">
        <v>1</v>
      </c>
      <c r="P73" s="14">
        <f>Tabelle2[[#This Row],[propertyID]]</f>
        <v>71</v>
      </c>
      <c r="Q73" s="14">
        <v>0</v>
      </c>
      <c r="R73" s="14" t="s">
        <v>125</v>
      </c>
      <c r="S73" t="s">
        <v>941</v>
      </c>
      <c r="T73" s="14"/>
      <c r="U73" s="14"/>
      <c r="V73" s="14"/>
      <c r="W73" s="14">
        <v>0</v>
      </c>
      <c r="X73" s="14"/>
    </row>
    <row r="74" spans="1:24" x14ac:dyDescent="0.25">
      <c r="A74">
        <v>72</v>
      </c>
      <c r="B74">
        <v>6</v>
      </c>
      <c r="C74" t="s">
        <v>132</v>
      </c>
      <c r="D74" t="s">
        <v>633</v>
      </c>
      <c r="E74" t="s">
        <v>61</v>
      </c>
      <c r="F74" s="14" t="s">
        <v>997</v>
      </c>
      <c r="G74" t="s">
        <v>1052</v>
      </c>
      <c r="H74" s="23">
        <v>2</v>
      </c>
      <c r="I74" s="14" t="str">
        <f>TEXT(Tabelle2[[#This Row],[category]],"00")&amp;TEXT(Tabelle2[[#This Row],[internal_order]],"00")</f>
        <v>0602</v>
      </c>
      <c r="J74" s="15">
        <v>2</v>
      </c>
      <c r="K74" s="15">
        <f>Tabelle2[[#This Row],[propertyID]]</f>
        <v>72</v>
      </c>
      <c r="L74" s="15">
        <v>0</v>
      </c>
      <c r="M74" s="15" t="s">
        <v>133</v>
      </c>
      <c r="O74" s="14">
        <v>1</v>
      </c>
      <c r="P74" s="14">
        <f>Tabelle2[[#This Row],[propertyID]]</f>
        <v>72</v>
      </c>
      <c r="Q74" s="14">
        <v>0</v>
      </c>
      <c r="R74" s="14" t="s">
        <v>133</v>
      </c>
      <c r="S74" t="s">
        <v>941</v>
      </c>
      <c r="T74" s="14"/>
      <c r="U74" s="14"/>
      <c r="V74" s="14"/>
      <c r="W74" s="14">
        <v>0</v>
      </c>
      <c r="X74" s="14"/>
    </row>
    <row r="75" spans="1:24" x14ac:dyDescent="0.25">
      <c r="A75">
        <v>73</v>
      </c>
      <c r="B75">
        <v>6</v>
      </c>
      <c r="C75" t="s">
        <v>130</v>
      </c>
      <c r="D75" t="s">
        <v>632</v>
      </c>
      <c r="E75" t="s">
        <v>61</v>
      </c>
      <c r="F75" s="14" t="s">
        <v>997</v>
      </c>
      <c r="G75" t="s">
        <v>1052</v>
      </c>
      <c r="H75" s="23">
        <v>3</v>
      </c>
      <c r="I75" s="14" t="str">
        <f>TEXT(Tabelle2[[#This Row],[category]],"00")&amp;TEXT(Tabelle2[[#This Row],[internal_order]],"00")</f>
        <v>0603</v>
      </c>
      <c r="J75" s="15">
        <v>2</v>
      </c>
      <c r="K75" s="15">
        <f>Tabelle2[[#This Row],[propertyID]]</f>
        <v>73</v>
      </c>
      <c r="L75" s="15">
        <v>0.05</v>
      </c>
      <c r="M75" s="15" t="s">
        <v>131</v>
      </c>
      <c r="O75" s="14">
        <v>1</v>
      </c>
      <c r="P75" s="14">
        <f>Tabelle2[[#This Row],[propertyID]]</f>
        <v>73</v>
      </c>
      <c r="Q75" s="14">
        <v>0.05</v>
      </c>
      <c r="R75" s="14" t="s">
        <v>131</v>
      </c>
      <c r="S75" t="s">
        <v>941</v>
      </c>
      <c r="T75" s="14"/>
      <c r="U75" s="14"/>
      <c r="V75" s="14"/>
      <c r="W75" s="14">
        <v>0</v>
      </c>
      <c r="X75" s="14"/>
    </row>
    <row r="76" spans="1:24" x14ac:dyDescent="0.25">
      <c r="A76">
        <v>74</v>
      </c>
      <c r="B76">
        <v>6</v>
      </c>
      <c r="C76" t="s">
        <v>126</v>
      </c>
      <c r="D76" t="s">
        <v>630</v>
      </c>
      <c r="E76" t="s">
        <v>61</v>
      </c>
      <c r="F76" s="14" t="s">
        <v>997</v>
      </c>
      <c r="G76" t="s">
        <v>1052</v>
      </c>
      <c r="H76" s="23">
        <v>4</v>
      </c>
      <c r="I76" s="14" t="str">
        <f>TEXT(Tabelle2[[#This Row],[category]],"00")&amp;TEXT(Tabelle2[[#This Row],[internal_order]],"00")</f>
        <v>0604</v>
      </c>
      <c r="J76" s="15">
        <v>2</v>
      </c>
      <c r="K76" s="15">
        <f>Tabelle2[[#This Row],[propertyID]]</f>
        <v>74</v>
      </c>
      <c r="L76" s="15">
        <v>9.8000000000000004E-2</v>
      </c>
      <c r="M76" s="15" t="s">
        <v>127</v>
      </c>
      <c r="O76" s="14">
        <v>1</v>
      </c>
      <c r="P76" s="14">
        <f>Tabelle2[[#This Row],[propertyID]]</f>
        <v>74</v>
      </c>
      <c r="Q76" s="14">
        <v>9.8000000000000004E-2</v>
      </c>
      <c r="R76" s="14" t="s">
        <v>127</v>
      </c>
      <c r="S76" t="s">
        <v>941</v>
      </c>
      <c r="T76" s="14"/>
      <c r="U76" s="14"/>
      <c r="V76" s="14"/>
      <c r="W76" s="14">
        <v>0</v>
      </c>
      <c r="X76" s="14"/>
    </row>
    <row r="77" spans="1:24" x14ac:dyDescent="0.25">
      <c r="A77">
        <v>75</v>
      </c>
      <c r="B77">
        <v>6</v>
      </c>
      <c r="C77" t="s">
        <v>128</v>
      </c>
      <c r="D77" t="s">
        <v>631</v>
      </c>
      <c r="E77" t="s">
        <v>61</v>
      </c>
      <c r="F77" s="14" t="s">
        <v>997</v>
      </c>
      <c r="G77" t="s">
        <v>1052</v>
      </c>
      <c r="H77" s="23">
        <v>5</v>
      </c>
      <c r="I77" s="14" t="str">
        <f>TEXT(Tabelle2[[#This Row],[category]],"00")&amp;TEXT(Tabelle2[[#This Row],[internal_order]],"00")</f>
        <v>0605</v>
      </c>
      <c r="J77" s="15">
        <v>2</v>
      </c>
      <c r="K77" s="15">
        <f>Tabelle2[[#This Row],[propertyID]]</f>
        <v>75</v>
      </c>
      <c r="L77" s="15">
        <v>0.03</v>
      </c>
      <c r="M77" s="15" t="s">
        <v>129</v>
      </c>
      <c r="O77" s="14">
        <v>1</v>
      </c>
      <c r="P77" s="14">
        <f>Tabelle2[[#This Row],[propertyID]]</f>
        <v>75</v>
      </c>
      <c r="Q77" s="14">
        <v>0.03</v>
      </c>
      <c r="R77" s="14" t="s">
        <v>129</v>
      </c>
      <c r="S77" t="s">
        <v>941</v>
      </c>
      <c r="T77" s="14"/>
      <c r="U77" s="14"/>
      <c r="V77" s="14"/>
      <c r="W77" s="14">
        <v>0</v>
      </c>
      <c r="X77" s="14"/>
    </row>
    <row r="78" spans="1:24" x14ac:dyDescent="0.25">
      <c r="A78">
        <v>76</v>
      </c>
      <c r="B78">
        <v>6</v>
      </c>
      <c r="C78" t="s">
        <v>134</v>
      </c>
      <c r="D78" t="s">
        <v>634</v>
      </c>
      <c r="E78" t="s">
        <v>61</v>
      </c>
      <c r="F78" s="14" t="s">
        <v>997</v>
      </c>
      <c r="G78" t="s">
        <v>1052</v>
      </c>
      <c r="H78" s="23">
        <v>6</v>
      </c>
      <c r="I78" s="14" t="str">
        <f>TEXT(Tabelle2[[#This Row],[category]],"00")&amp;TEXT(Tabelle2[[#This Row],[internal_order]],"00")</f>
        <v>0606</v>
      </c>
      <c r="J78" s="15">
        <v>2</v>
      </c>
      <c r="K78" s="15">
        <f>Tabelle2[[#This Row],[propertyID]]</f>
        <v>76</v>
      </c>
      <c r="L78" s="15">
        <v>2.44</v>
      </c>
      <c r="M78" s="15" t="s">
        <v>834</v>
      </c>
      <c r="O78" s="14">
        <v>1</v>
      </c>
      <c r="P78" s="14">
        <f>Tabelle2[[#This Row],[propertyID]]</f>
        <v>76</v>
      </c>
      <c r="Q78" s="14">
        <v>2.44</v>
      </c>
      <c r="R78" s="14" t="s">
        <v>834</v>
      </c>
      <c r="S78" t="s">
        <v>941</v>
      </c>
      <c r="T78" s="14"/>
      <c r="U78" s="14"/>
      <c r="V78" s="14"/>
      <c r="W78" s="14">
        <v>0</v>
      </c>
      <c r="X78" s="14"/>
    </row>
    <row r="79" spans="1:24" x14ac:dyDescent="0.25">
      <c r="A79">
        <v>77</v>
      </c>
      <c r="B79">
        <v>6</v>
      </c>
      <c r="C79" t="s">
        <v>71</v>
      </c>
      <c r="D79" t="s">
        <v>605</v>
      </c>
      <c r="E79" t="s">
        <v>61</v>
      </c>
      <c r="F79" s="14" t="s">
        <v>997</v>
      </c>
      <c r="G79" t="s">
        <v>1052</v>
      </c>
      <c r="H79" s="23">
        <v>7</v>
      </c>
      <c r="I79" s="14" t="str">
        <f>TEXT(Tabelle2[[#This Row],[category]],"00")&amp;TEXT(Tabelle2[[#This Row],[internal_order]],"00")</f>
        <v>0607</v>
      </c>
      <c r="J79" s="15">
        <v>2</v>
      </c>
      <c r="K79" s="15">
        <f>Tabelle2[[#This Row],[propertyID]]</f>
        <v>77</v>
      </c>
      <c r="L79" s="15">
        <v>16.47</v>
      </c>
      <c r="M79" s="15" t="s">
        <v>72</v>
      </c>
      <c r="O79" s="14">
        <v>1</v>
      </c>
      <c r="P79" s="14">
        <f>Tabelle2[[#This Row],[propertyID]]</f>
        <v>77</v>
      </c>
      <c r="Q79" s="14">
        <v>16.47</v>
      </c>
      <c r="R79" s="14" t="s">
        <v>72</v>
      </c>
      <c r="S79" t="s">
        <v>941</v>
      </c>
      <c r="T79" s="14"/>
      <c r="U79" s="14"/>
      <c r="V79" s="14"/>
      <c r="W79" s="14">
        <v>0</v>
      </c>
      <c r="X79" s="14"/>
    </row>
    <row r="80" spans="1:24" x14ac:dyDescent="0.25">
      <c r="A80">
        <v>78</v>
      </c>
      <c r="B80">
        <v>6</v>
      </c>
      <c r="C80" t="s">
        <v>73</v>
      </c>
      <c r="D80" t="s">
        <v>606</v>
      </c>
      <c r="E80" t="s">
        <v>61</v>
      </c>
      <c r="F80" s="14" t="s">
        <v>997</v>
      </c>
      <c r="G80" t="s">
        <v>1052</v>
      </c>
      <c r="H80" s="23">
        <v>8</v>
      </c>
      <c r="I80" s="14" t="str">
        <f>TEXT(Tabelle2[[#This Row],[category]],"00")&amp;TEXT(Tabelle2[[#This Row],[internal_order]],"00")</f>
        <v>0608</v>
      </c>
      <c r="J80" s="15">
        <v>2</v>
      </c>
      <c r="K80" s="15">
        <f>Tabelle2[[#This Row],[propertyID]]</f>
        <v>78</v>
      </c>
      <c r="L80" s="15">
        <v>0</v>
      </c>
      <c r="M80" s="15" t="s">
        <v>74</v>
      </c>
      <c r="O80" s="14">
        <v>1</v>
      </c>
      <c r="P80" s="14">
        <f>Tabelle2[[#This Row],[propertyID]]</f>
        <v>78</v>
      </c>
      <c r="Q80" s="14">
        <v>0</v>
      </c>
      <c r="R80" s="14" t="s">
        <v>74</v>
      </c>
      <c r="S80" t="s">
        <v>941</v>
      </c>
      <c r="T80" s="14"/>
      <c r="U80" s="14"/>
      <c r="V80" s="14"/>
      <c r="W80" s="14">
        <v>0</v>
      </c>
      <c r="X80" s="14"/>
    </row>
    <row r="81" spans="1:24" x14ac:dyDescent="0.25">
      <c r="A81">
        <v>79</v>
      </c>
      <c r="B81">
        <v>6</v>
      </c>
      <c r="C81" t="s">
        <v>75</v>
      </c>
      <c r="D81" t="s">
        <v>607</v>
      </c>
      <c r="E81" t="s">
        <v>61</v>
      </c>
      <c r="F81" s="14" t="s">
        <v>997</v>
      </c>
      <c r="G81" t="s">
        <v>1052</v>
      </c>
      <c r="H81" s="23">
        <v>9</v>
      </c>
      <c r="I81" s="14" t="str">
        <f>TEXT(Tabelle2[[#This Row],[category]],"00")&amp;TEXT(Tabelle2[[#This Row],[internal_order]],"00")</f>
        <v>0609</v>
      </c>
      <c r="J81" s="15">
        <v>2</v>
      </c>
      <c r="K81" s="15">
        <f>Tabelle2[[#This Row],[propertyID]]</f>
        <v>79</v>
      </c>
      <c r="L81" s="15">
        <v>0</v>
      </c>
      <c r="M81" s="15" t="s">
        <v>76</v>
      </c>
      <c r="O81" s="14">
        <v>1</v>
      </c>
      <c r="P81" s="14">
        <f>Tabelle2[[#This Row],[propertyID]]</f>
        <v>79</v>
      </c>
      <c r="Q81" s="14">
        <v>0</v>
      </c>
      <c r="R81" s="14" t="s">
        <v>76</v>
      </c>
      <c r="S81" t="s">
        <v>941</v>
      </c>
      <c r="T81" s="14"/>
      <c r="U81" s="14"/>
      <c r="V81" s="14"/>
      <c r="W81" s="14">
        <v>0</v>
      </c>
      <c r="X81" s="14"/>
    </row>
    <row r="82" spans="1:24" x14ac:dyDescent="0.25">
      <c r="A82">
        <v>80</v>
      </c>
      <c r="B82">
        <v>6</v>
      </c>
      <c r="C82" t="s">
        <v>77</v>
      </c>
      <c r="D82" t="s">
        <v>608</v>
      </c>
      <c r="E82" t="s">
        <v>41</v>
      </c>
      <c r="F82" s="14" t="s">
        <v>922</v>
      </c>
      <c r="G82" t="s">
        <v>1052</v>
      </c>
      <c r="H82" s="23">
        <v>10</v>
      </c>
      <c r="I82" s="14" t="str">
        <f>TEXT(Tabelle2[[#This Row],[category]],"00")&amp;TEXT(Tabelle2[[#This Row],[internal_order]],"00")</f>
        <v>0610</v>
      </c>
      <c r="J82" s="15">
        <v>2</v>
      </c>
      <c r="K82" s="15">
        <f>Tabelle2[[#This Row],[propertyID]]</f>
        <v>80</v>
      </c>
      <c r="L82" s="15">
        <v>0</v>
      </c>
      <c r="M82" s="15" t="s">
        <v>78</v>
      </c>
      <c r="O82" s="14">
        <v>1</v>
      </c>
      <c r="P82" s="14">
        <f>Tabelle2[[#This Row],[propertyID]]</f>
        <v>80</v>
      </c>
      <c r="Q82" s="14">
        <v>0</v>
      </c>
      <c r="R82" s="14" t="s">
        <v>78</v>
      </c>
      <c r="S82" t="s">
        <v>941</v>
      </c>
      <c r="T82" s="14"/>
      <c r="U82" s="14"/>
      <c r="V82" s="14"/>
      <c r="W82" s="14">
        <v>0</v>
      </c>
      <c r="X82" s="14"/>
    </row>
    <row r="83" spans="1:24" x14ac:dyDescent="0.25">
      <c r="A83">
        <v>81</v>
      </c>
      <c r="B83">
        <v>6</v>
      </c>
      <c r="C83" t="s">
        <v>79</v>
      </c>
      <c r="D83" t="s">
        <v>609</v>
      </c>
      <c r="E83" t="s">
        <v>41</v>
      </c>
      <c r="F83" s="14" t="s">
        <v>922</v>
      </c>
      <c r="G83" t="s">
        <v>1052</v>
      </c>
      <c r="H83" s="23">
        <v>11</v>
      </c>
      <c r="I83" s="14" t="str">
        <f>TEXT(Tabelle2[[#This Row],[category]],"00")&amp;TEXT(Tabelle2[[#This Row],[internal_order]],"00")</f>
        <v>0611</v>
      </c>
      <c r="J83" s="15">
        <v>2</v>
      </c>
      <c r="K83" s="15">
        <f>Tabelle2[[#This Row],[propertyID]]</f>
        <v>81</v>
      </c>
      <c r="L83" s="15">
        <v>0</v>
      </c>
      <c r="M83" s="15" t="s">
        <v>80</v>
      </c>
      <c r="O83" s="14">
        <v>1</v>
      </c>
      <c r="P83" s="14">
        <f>Tabelle2[[#This Row],[propertyID]]</f>
        <v>81</v>
      </c>
      <c r="Q83" s="14">
        <v>0</v>
      </c>
      <c r="R83" s="14" t="s">
        <v>80</v>
      </c>
      <c r="S83" t="s">
        <v>941</v>
      </c>
      <c r="T83" s="14"/>
      <c r="U83" s="14"/>
      <c r="V83" s="14"/>
      <c r="W83" s="14">
        <v>0</v>
      </c>
      <c r="X83" s="14"/>
    </row>
    <row r="84" spans="1:24" x14ac:dyDescent="0.25">
      <c r="A84">
        <v>82</v>
      </c>
      <c r="B84">
        <v>6</v>
      </c>
      <c r="C84" t="s">
        <v>107</v>
      </c>
      <c r="D84" t="s">
        <v>621</v>
      </c>
      <c r="E84" t="s">
        <v>61</v>
      </c>
      <c r="F84" s="14" t="s">
        <v>997</v>
      </c>
      <c r="G84" t="s">
        <v>1052</v>
      </c>
      <c r="H84" s="23">
        <v>12</v>
      </c>
      <c r="I84" s="14" t="str">
        <f>TEXT(Tabelle2[[#This Row],[category]],"00")&amp;TEXT(Tabelle2[[#This Row],[internal_order]],"00")</f>
        <v>0612</v>
      </c>
      <c r="J84" s="15">
        <v>2</v>
      </c>
      <c r="K84" s="15">
        <f>Tabelle2[[#This Row],[propertyID]]</f>
        <v>82</v>
      </c>
      <c r="L84" s="15">
        <v>1.54E-2</v>
      </c>
      <c r="M84" s="15" t="s">
        <v>108</v>
      </c>
      <c r="O84" s="14">
        <v>1</v>
      </c>
      <c r="P84" s="14">
        <f>Tabelle2[[#This Row],[propertyID]]</f>
        <v>82</v>
      </c>
      <c r="Q84" s="14">
        <v>1.54E-2</v>
      </c>
      <c r="R84" s="14" t="s">
        <v>108</v>
      </c>
      <c r="S84" t="s">
        <v>941</v>
      </c>
      <c r="T84" s="14"/>
      <c r="U84" s="14"/>
      <c r="V84" s="14"/>
      <c r="W84" s="14">
        <v>0</v>
      </c>
      <c r="X84" s="14"/>
    </row>
    <row r="85" spans="1:24" x14ac:dyDescent="0.25">
      <c r="A85">
        <v>83</v>
      </c>
      <c r="B85">
        <v>6</v>
      </c>
      <c r="C85" t="s">
        <v>109</v>
      </c>
      <c r="D85" t="s">
        <v>622</v>
      </c>
      <c r="E85" t="s">
        <v>61</v>
      </c>
      <c r="F85" s="14" t="s">
        <v>997</v>
      </c>
      <c r="G85" t="s">
        <v>1052</v>
      </c>
      <c r="H85" s="23">
        <v>13</v>
      </c>
      <c r="I85" s="14" t="str">
        <f>TEXT(Tabelle2[[#This Row],[category]],"00")&amp;TEXT(Tabelle2[[#This Row],[internal_order]],"00")</f>
        <v>0613</v>
      </c>
      <c r="J85" s="15">
        <v>2</v>
      </c>
      <c r="K85" s="15">
        <f>Tabelle2[[#This Row],[propertyID]]</f>
        <v>83</v>
      </c>
      <c r="L85" s="15">
        <v>1.02E-7</v>
      </c>
      <c r="M85" s="15" t="s">
        <v>110</v>
      </c>
      <c r="O85" s="14">
        <v>1</v>
      </c>
      <c r="P85" s="14">
        <f>Tabelle2[[#This Row],[propertyID]]</f>
        <v>83</v>
      </c>
      <c r="Q85" s="14">
        <v>1.02E-7</v>
      </c>
      <c r="R85" s="14" t="s">
        <v>110</v>
      </c>
      <c r="S85" t="s">
        <v>941</v>
      </c>
      <c r="T85" s="14"/>
      <c r="U85" s="14"/>
      <c r="V85" s="14"/>
      <c r="W85" s="14">
        <v>0</v>
      </c>
      <c r="X85" s="14"/>
    </row>
    <row r="86" spans="1:24" x14ac:dyDescent="0.25">
      <c r="A86">
        <v>84</v>
      </c>
      <c r="B86">
        <v>6</v>
      </c>
      <c r="C86" t="s">
        <v>105</v>
      </c>
      <c r="D86" t="s">
        <v>620</v>
      </c>
      <c r="E86" t="s">
        <v>61</v>
      </c>
      <c r="F86" s="14" t="s">
        <v>997</v>
      </c>
      <c r="G86" t="s">
        <v>1052</v>
      </c>
      <c r="H86" s="23">
        <v>14</v>
      </c>
      <c r="I86" s="14" t="str">
        <f>TEXT(Tabelle2[[#This Row],[category]],"00")&amp;TEXT(Tabelle2[[#This Row],[internal_order]],"00")</f>
        <v>0614</v>
      </c>
      <c r="J86" s="15">
        <v>2</v>
      </c>
      <c r="K86" s="15">
        <f>Tabelle2[[#This Row],[propertyID]]</f>
        <v>84</v>
      </c>
      <c r="L86" s="15">
        <v>1.7600000000000001E-5</v>
      </c>
      <c r="M86" s="15" t="s">
        <v>106</v>
      </c>
      <c r="O86" s="14">
        <v>1</v>
      </c>
      <c r="P86" s="14">
        <f>Tabelle2[[#This Row],[propertyID]]</f>
        <v>84</v>
      </c>
      <c r="Q86" s="14">
        <v>1.7600000000000001E-5</v>
      </c>
      <c r="R86" s="14" t="s">
        <v>106</v>
      </c>
      <c r="S86" t="s">
        <v>941</v>
      </c>
      <c r="T86" s="14"/>
      <c r="U86" s="14"/>
      <c r="V86" s="14"/>
      <c r="W86" s="14">
        <v>0</v>
      </c>
      <c r="X86" s="14"/>
    </row>
    <row r="87" spans="1:24" x14ac:dyDescent="0.25">
      <c r="A87">
        <v>85</v>
      </c>
      <c r="B87">
        <v>6</v>
      </c>
      <c r="C87" t="s">
        <v>122</v>
      </c>
      <c r="D87" t="s">
        <v>628</v>
      </c>
      <c r="E87" t="s">
        <v>26</v>
      </c>
      <c r="F87" s="14" t="s">
        <v>26</v>
      </c>
      <c r="G87" t="s">
        <v>1052</v>
      </c>
      <c r="H87" s="23">
        <v>15</v>
      </c>
      <c r="I87" s="14" t="str">
        <f>TEXT(Tabelle2[[#This Row],[category]],"00")&amp;TEXT(Tabelle2[[#This Row],[internal_order]],"00")</f>
        <v>0615</v>
      </c>
      <c r="J87" s="15">
        <v>2</v>
      </c>
      <c r="K87" s="15">
        <f>Tabelle2[[#This Row],[propertyID]]</f>
        <v>85</v>
      </c>
      <c r="L87" s="15">
        <v>4.62E-3</v>
      </c>
      <c r="M87" s="15" t="s">
        <v>123</v>
      </c>
      <c r="O87" s="14">
        <v>1</v>
      </c>
      <c r="P87" s="14">
        <f>Tabelle2[[#This Row],[propertyID]]</f>
        <v>85</v>
      </c>
      <c r="Q87" s="14">
        <v>4.62E-3</v>
      </c>
      <c r="R87" s="14" t="s">
        <v>123</v>
      </c>
      <c r="S87" t="s">
        <v>941</v>
      </c>
      <c r="T87" s="14"/>
      <c r="U87" s="14"/>
      <c r="V87" s="14"/>
      <c r="W87" s="14">
        <v>0</v>
      </c>
      <c r="X87" s="14"/>
    </row>
    <row r="88" spans="1:24" x14ac:dyDescent="0.25">
      <c r="A88">
        <v>86</v>
      </c>
      <c r="B88">
        <v>6</v>
      </c>
      <c r="C88" t="s">
        <v>97</v>
      </c>
      <c r="D88" t="s">
        <v>616</v>
      </c>
      <c r="E88" t="s">
        <v>61</v>
      </c>
      <c r="F88" s="14" t="s">
        <v>997</v>
      </c>
      <c r="G88" t="s">
        <v>1052</v>
      </c>
      <c r="H88" s="23">
        <v>16</v>
      </c>
      <c r="I88" s="14" t="str">
        <f>TEXT(Tabelle2[[#This Row],[category]],"00")&amp;TEXT(Tabelle2[[#This Row],[internal_order]],"00")</f>
        <v>0616</v>
      </c>
      <c r="J88" s="15">
        <v>2</v>
      </c>
      <c r="K88" s="15">
        <f>Tabelle2[[#This Row],[propertyID]]</f>
        <v>86</v>
      </c>
      <c r="L88" s="15">
        <v>7.5199999999999998E-3</v>
      </c>
      <c r="M88" s="15" t="s">
        <v>98</v>
      </c>
      <c r="O88" s="14">
        <v>1</v>
      </c>
      <c r="P88" s="14">
        <f>Tabelle2[[#This Row],[propertyID]]</f>
        <v>86</v>
      </c>
      <c r="Q88" s="14">
        <v>7.5199999999999998E-3</v>
      </c>
      <c r="R88" s="14" t="s">
        <v>98</v>
      </c>
      <c r="S88" t="s">
        <v>941</v>
      </c>
      <c r="T88" s="14"/>
      <c r="U88" s="14"/>
      <c r="V88" s="14"/>
      <c r="W88" s="14">
        <v>0</v>
      </c>
      <c r="X88" s="14"/>
    </row>
    <row r="89" spans="1:24" x14ac:dyDescent="0.25">
      <c r="A89">
        <v>87</v>
      </c>
      <c r="B89">
        <v>6</v>
      </c>
      <c r="C89" t="s">
        <v>99</v>
      </c>
      <c r="D89" t="s">
        <v>617</v>
      </c>
      <c r="E89" t="s">
        <v>61</v>
      </c>
      <c r="F89" s="14" t="s">
        <v>997</v>
      </c>
      <c r="G89" t="s">
        <v>1052</v>
      </c>
      <c r="H89" s="23">
        <v>17</v>
      </c>
      <c r="I89" s="14" t="str">
        <f>TEXT(Tabelle2[[#This Row],[category]],"00")&amp;TEXT(Tabelle2[[#This Row],[internal_order]],"00")</f>
        <v>0617</v>
      </c>
      <c r="J89" s="15">
        <v>2</v>
      </c>
      <c r="K89" s="15">
        <f>Tabelle2[[#This Row],[propertyID]]</f>
        <v>87</v>
      </c>
      <c r="L89" s="15">
        <v>6.2299999999999995E-8</v>
      </c>
      <c r="M89" s="15" t="s">
        <v>100</v>
      </c>
      <c r="O89" s="14">
        <v>1</v>
      </c>
      <c r="P89" s="14">
        <f>Tabelle2[[#This Row],[propertyID]]</f>
        <v>87</v>
      </c>
      <c r="Q89" s="14">
        <v>6.2299999999999995E-8</v>
      </c>
      <c r="R89" s="14" t="s">
        <v>100</v>
      </c>
      <c r="S89" t="s">
        <v>941</v>
      </c>
      <c r="T89" s="14"/>
      <c r="U89" s="14"/>
      <c r="V89" s="14"/>
      <c r="W89" s="14">
        <v>0</v>
      </c>
      <c r="X89" s="14"/>
    </row>
    <row r="90" spans="1:24" x14ac:dyDescent="0.25">
      <c r="A90">
        <v>88</v>
      </c>
      <c r="B90">
        <v>6</v>
      </c>
      <c r="C90" t="s">
        <v>101</v>
      </c>
      <c r="D90" t="s">
        <v>618</v>
      </c>
      <c r="E90" t="s">
        <v>61</v>
      </c>
      <c r="F90" s="14" t="s">
        <v>997</v>
      </c>
      <c r="G90" t="s">
        <v>1052</v>
      </c>
      <c r="H90" s="23">
        <v>18</v>
      </c>
      <c r="I90" s="14" t="str">
        <f>TEXT(Tabelle2[[#This Row],[category]],"00")&amp;TEXT(Tabelle2[[#This Row],[internal_order]],"00")</f>
        <v>0618</v>
      </c>
      <c r="J90" s="15">
        <v>2</v>
      </c>
      <c r="K90" s="15">
        <f>Tabelle2[[#This Row],[propertyID]]</f>
        <v>88</v>
      </c>
      <c r="L90" s="15">
        <v>2.2E-13</v>
      </c>
      <c r="M90" s="15" t="s">
        <v>102</v>
      </c>
      <c r="O90" s="14">
        <v>1</v>
      </c>
      <c r="P90" s="14">
        <f>Tabelle2[[#This Row],[propertyID]]</f>
        <v>88</v>
      </c>
      <c r="Q90" s="14">
        <v>2.2E-13</v>
      </c>
      <c r="R90" s="14" t="s">
        <v>102</v>
      </c>
      <c r="S90" t="s">
        <v>941</v>
      </c>
      <c r="T90" s="14"/>
      <c r="U90" s="14"/>
      <c r="V90" s="14"/>
      <c r="W90" s="14">
        <v>0</v>
      </c>
      <c r="X90" s="14"/>
    </row>
    <row r="91" spans="1:24" x14ac:dyDescent="0.25">
      <c r="A91">
        <v>89</v>
      </c>
      <c r="B91">
        <v>6</v>
      </c>
      <c r="C91" t="s">
        <v>1466</v>
      </c>
      <c r="D91" t="s">
        <v>619</v>
      </c>
      <c r="E91" t="s">
        <v>61</v>
      </c>
      <c r="F91" s="14" t="s">
        <v>997</v>
      </c>
      <c r="G91" t="s">
        <v>1052</v>
      </c>
      <c r="H91" s="23">
        <v>19</v>
      </c>
      <c r="I91" s="14" t="str">
        <f>TEXT(Tabelle2[[#This Row],[category]],"00")&amp;TEXT(Tabelle2[[#This Row],[internal_order]],"00")</f>
        <v>0619</v>
      </c>
      <c r="J91" s="15">
        <v>2</v>
      </c>
      <c r="K91" s="15">
        <f>Tabelle2[[#This Row],[propertyID]]</f>
        <v>89</v>
      </c>
      <c r="L91" s="15">
        <v>1.7600000000000001E-5</v>
      </c>
      <c r="M91" s="15" t="s">
        <v>104</v>
      </c>
      <c r="O91" s="14">
        <v>1</v>
      </c>
      <c r="P91" s="14">
        <f>Tabelle2[[#This Row],[propertyID]]</f>
        <v>89</v>
      </c>
      <c r="Q91" s="14">
        <v>1.7600000000000001E-5</v>
      </c>
      <c r="R91" s="14" t="s">
        <v>104</v>
      </c>
      <c r="S91" t="s">
        <v>941</v>
      </c>
      <c r="T91" s="14"/>
      <c r="U91" s="14"/>
      <c r="V91" s="14"/>
      <c r="W91" s="14">
        <v>0</v>
      </c>
      <c r="X91" s="14"/>
    </row>
    <row r="92" spans="1:24" x14ac:dyDescent="0.25">
      <c r="A92">
        <v>90</v>
      </c>
      <c r="B92">
        <v>6</v>
      </c>
      <c r="C92" t="s">
        <v>111</v>
      </c>
      <c r="D92" t="s">
        <v>623</v>
      </c>
      <c r="E92" t="s">
        <v>112</v>
      </c>
      <c r="F92" s="14" t="s">
        <v>1492</v>
      </c>
      <c r="G92" t="s">
        <v>1052</v>
      </c>
      <c r="H92" s="23">
        <v>20</v>
      </c>
      <c r="I92" s="14" t="str">
        <f>TEXT(Tabelle2[[#This Row],[category]],"00")&amp;TEXT(Tabelle2[[#This Row],[internal_order]],"00")</f>
        <v>0620</v>
      </c>
      <c r="J92" s="15">
        <v>2</v>
      </c>
      <c r="K92" s="15">
        <f>Tabelle2[[#This Row],[propertyID]]</f>
        <v>90</v>
      </c>
      <c r="L92" s="15">
        <v>82</v>
      </c>
      <c r="M92" s="15" t="s">
        <v>113</v>
      </c>
      <c r="O92" s="14">
        <v>1</v>
      </c>
      <c r="P92" s="14">
        <f>Tabelle2[[#This Row],[propertyID]]</f>
        <v>90</v>
      </c>
      <c r="Q92" s="14">
        <v>82</v>
      </c>
      <c r="R92" s="14" t="s">
        <v>113</v>
      </c>
      <c r="S92" t="s">
        <v>941</v>
      </c>
      <c r="T92" s="14"/>
      <c r="U92" s="14"/>
      <c r="V92" s="14"/>
      <c r="W92" s="14">
        <v>0</v>
      </c>
      <c r="X92" s="14"/>
    </row>
    <row r="93" spans="1:24" x14ac:dyDescent="0.25">
      <c r="A93">
        <v>91</v>
      </c>
      <c r="B93">
        <v>6</v>
      </c>
      <c r="C93" t="s">
        <v>114</v>
      </c>
      <c r="D93" t="s">
        <v>624</v>
      </c>
      <c r="E93" t="s">
        <v>112</v>
      </c>
      <c r="F93" s="14" t="s">
        <v>1492</v>
      </c>
      <c r="G93" t="s">
        <v>1052</v>
      </c>
      <c r="H93" s="23">
        <v>21</v>
      </c>
      <c r="I93" s="14" t="str">
        <f>TEXT(Tabelle2[[#This Row],[category]],"00")&amp;TEXT(Tabelle2[[#This Row],[internal_order]],"00")</f>
        <v>0621</v>
      </c>
      <c r="J93" s="15">
        <v>2</v>
      </c>
      <c r="K93" s="15">
        <f>Tabelle2[[#This Row],[propertyID]]</f>
        <v>91</v>
      </c>
      <c r="L93" s="15">
        <v>17</v>
      </c>
      <c r="M93" s="15" t="s">
        <v>115</v>
      </c>
      <c r="O93" s="14">
        <v>1</v>
      </c>
      <c r="P93" s="14">
        <f>Tabelle2[[#This Row],[propertyID]]</f>
        <v>91</v>
      </c>
      <c r="Q93" s="14">
        <v>17</v>
      </c>
      <c r="R93" s="14" t="s">
        <v>115</v>
      </c>
      <c r="S93" t="s">
        <v>941</v>
      </c>
      <c r="T93" s="14"/>
      <c r="U93" s="14"/>
      <c r="V93" s="14"/>
      <c r="W93" s="14">
        <v>0</v>
      </c>
      <c r="X93" s="14"/>
    </row>
    <row r="94" spans="1:24" x14ac:dyDescent="0.25">
      <c r="A94">
        <v>92</v>
      </c>
      <c r="B94">
        <v>7</v>
      </c>
      <c r="C94" t="s">
        <v>1387</v>
      </c>
      <c r="D94" t="s">
        <v>884</v>
      </c>
      <c r="F94" s="14"/>
      <c r="G94" t="s">
        <v>1485</v>
      </c>
      <c r="H94" s="23">
        <v>1</v>
      </c>
      <c r="I94" s="14" t="str">
        <f>TEXT(Tabelle2[[#This Row],[category]],"00")&amp;TEXT(Tabelle2[[#This Row],[internal_order]],"00")</f>
        <v>0701</v>
      </c>
      <c r="J94" s="15">
        <v>2</v>
      </c>
      <c r="K94" s="15">
        <f>Tabelle2[[#This Row],[propertyID]]</f>
        <v>92</v>
      </c>
      <c r="L94" s="15">
        <v>1</v>
      </c>
      <c r="M94" s="15" t="s">
        <v>1482</v>
      </c>
      <c r="O94" s="14">
        <v>1</v>
      </c>
      <c r="P94" s="14">
        <f>Tabelle2[[#This Row],[propertyID]]</f>
        <v>92</v>
      </c>
      <c r="Q94" s="14">
        <v>1</v>
      </c>
      <c r="R94" s="14" t="s">
        <v>897</v>
      </c>
      <c r="S94" t="s">
        <v>224</v>
      </c>
      <c r="T94" s="14"/>
      <c r="U94" s="14"/>
      <c r="V94" s="14"/>
      <c r="W94" s="14">
        <v>0</v>
      </c>
      <c r="X94" s="14"/>
    </row>
    <row r="95" spans="1:24" x14ac:dyDescent="0.25">
      <c r="A95">
        <v>93</v>
      </c>
      <c r="B95">
        <v>7</v>
      </c>
      <c r="C95" t="s">
        <v>1386</v>
      </c>
      <c r="D95" t="s">
        <v>885</v>
      </c>
      <c r="F95" s="14"/>
      <c r="G95" t="s">
        <v>1485</v>
      </c>
      <c r="H95" s="23">
        <v>2</v>
      </c>
      <c r="I95" s="14" t="str">
        <f>TEXT(Tabelle2[[#This Row],[category]],"00")&amp;TEXT(Tabelle2[[#This Row],[internal_order]],"00")</f>
        <v>0702</v>
      </c>
      <c r="J95" s="15">
        <v>2</v>
      </c>
      <c r="K95" s="15">
        <f>Tabelle2[[#This Row],[propertyID]]</f>
        <v>93</v>
      </c>
      <c r="L95" s="15">
        <v>1</v>
      </c>
      <c r="M95" s="15" t="s">
        <v>1483</v>
      </c>
      <c r="O95" s="14">
        <v>1</v>
      </c>
      <c r="P95" s="14">
        <f>Tabelle2[[#This Row],[propertyID]]</f>
        <v>93</v>
      </c>
      <c r="Q95" s="14">
        <v>1</v>
      </c>
      <c r="R95" s="14" t="s">
        <v>898</v>
      </c>
      <c r="S95" t="s">
        <v>224</v>
      </c>
      <c r="T95" s="14"/>
      <c r="U95" s="14"/>
      <c r="V95" s="14"/>
      <c r="W95" s="14">
        <v>0</v>
      </c>
      <c r="X95" s="14"/>
    </row>
    <row r="96" spans="1:24" x14ac:dyDescent="0.25">
      <c r="A96">
        <v>94</v>
      </c>
      <c r="B96">
        <v>7</v>
      </c>
      <c r="C96" t="s">
        <v>1388</v>
      </c>
      <c r="D96" t="s">
        <v>886</v>
      </c>
      <c r="F96" s="14"/>
      <c r="G96" t="s">
        <v>1485</v>
      </c>
      <c r="H96" s="23">
        <v>3</v>
      </c>
      <c r="I96" s="14" t="str">
        <f>TEXT(Tabelle2[[#This Row],[category]],"00")&amp;TEXT(Tabelle2[[#This Row],[internal_order]],"00")</f>
        <v>0703</v>
      </c>
      <c r="J96" s="15">
        <v>2</v>
      </c>
      <c r="K96" s="15">
        <f>Tabelle2[[#This Row],[propertyID]]</f>
        <v>94</v>
      </c>
      <c r="L96" s="15">
        <v>1</v>
      </c>
      <c r="M96" s="15" t="s">
        <v>1484</v>
      </c>
      <c r="O96" s="14">
        <v>1</v>
      </c>
      <c r="P96" s="14">
        <f>Tabelle2[[#This Row],[propertyID]]</f>
        <v>94</v>
      </c>
      <c r="Q96" s="14">
        <v>1</v>
      </c>
      <c r="R96" s="14" t="s">
        <v>899</v>
      </c>
      <c r="S96" t="s">
        <v>224</v>
      </c>
      <c r="T96" s="14"/>
      <c r="U96" s="14"/>
      <c r="V96" s="14"/>
      <c r="W96" s="14">
        <v>0</v>
      </c>
      <c r="X96" s="14"/>
    </row>
    <row r="97" spans="1:24" x14ac:dyDescent="0.25">
      <c r="A97">
        <v>95</v>
      </c>
      <c r="B97">
        <v>7</v>
      </c>
      <c r="C97" t="s">
        <v>1389</v>
      </c>
      <c r="D97" t="s">
        <v>1390</v>
      </c>
      <c r="F97" s="14"/>
      <c r="G97" t="s">
        <v>1485</v>
      </c>
      <c r="H97" s="23">
        <v>4</v>
      </c>
      <c r="I97" s="14" t="str">
        <f>TEXT(Tabelle2[[#This Row],[category]],"00")&amp;TEXT(Tabelle2[[#This Row],[internal_order]],"00")</f>
        <v>0704</v>
      </c>
      <c r="J97" s="15">
        <v>2</v>
      </c>
      <c r="K97" s="15">
        <f>Tabelle2[[#This Row],[propertyID]]</f>
        <v>95</v>
      </c>
      <c r="L97" s="15">
        <v>0</v>
      </c>
      <c r="M97" s="15" t="s">
        <v>1481</v>
      </c>
      <c r="O97" s="14">
        <v>1</v>
      </c>
      <c r="P97" s="14">
        <f>Tabelle2[[#This Row],[propertyID]]</f>
        <v>95</v>
      </c>
      <c r="Q97" s="14">
        <v>0</v>
      </c>
      <c r="R97" s="14" t="s">
        <v>175</v>
      </c>
      <c r="S97" t="s">
        <v>224</v>
      </c>
      <c r="T97" s="14"/>
      <c r="U97" s="14"/>
      <c r="V97" s="14"/>
      <c r="W97" s="14">
        <v>0</v>
      </c>
      <c r="X97" s="14"/>
    </row>
    <row r="98" spans="1:24" x14ac:dyDescent="0.25">
      <c r="A98">
        <v>96</v>
      </c>
      <c r="B98">
        <v>7</v>
      </c>
      <c r="C98" t="s">
        <v>1391</v>
      </c>
      <c r="D98" t="s">
        <v>1385</v>
      </c>
      <c r="F98" s="14"/>
      <c r="G98" t="s">
        <v>1485</v>
      </c>
      <c r="H98" s="23">
        <v>5</v>
      </c>
      <c r="I98" s="14" t="str">
        <f>TEXT(Tabelle2[[#This Row],[category]],"00")&amp;TEXT(Tabelle2[[#This Row],[internal_order]],"00")</f>
        <v>0705</v>
      </c>
      <c r="J98" s="15">
        <v>2</v>
      </c>
      <c r="K98" s="15">
        <f>Tabelle2[[#This Row],[propertyID]]</f>
        <v>96</v>
      </c>
      <c r="L98" s="15">
        <v>0</v>
      </c>
      <c r="M98" s="15" t="s">
        <v>1480</v>
      </c>
      <c r="O98" s="14">
        <v>1</v>
      </c>
      <c r="P98" s="14">
        <f>Tabelle2[[#This Row],[propertyID]]</f>
        <v>96</v>
      </c>
      <c r="Q98" s="14">
        <v>0</v>
      </c>
      <c r="R98" s="14" t="s">
        <v>1368</v>
      </c>
      <c r="T98" s="14"/>
      <c r="U98" s="14"/>
      <c r="V98" s="14"/>
      <c r="W98" s="14">
        <v>0</v>
      </c>
      <c r="X98" s="14"/>
    </row>
    <row r="99" spans="1:24" x14ac:dyDescent="0.25">
      <c r="A99">
        <v>97</v>
      </c>
      <c r="B99">
        <v>8</v>
      </c>
      <c r="C99" t="s">
        <v>856</v>
      </c>
      <c r="D99" t="s">
        <v>642</v>
      </c>
      <c r="F99" s="14"/>
      <c r="G99" t="s">
        <v>1053</v>
      </c>
      <c r="H99" s="23">
        <v>1</v>
      </c>
      <c r="I99" s="14" t="str">
        <f>TEXT(Tabelle2[[#This Row],[category]],"00")&amp;TEXT(Tabelle2[[#This Row],[internal_order]],"00")</f>
        <v>0801</v>
      </c>
      <c r="J99" s="15">
        <v>2</v>
      </c>
      <c r="K99" s="15">
        <f>Tabelle2[[#This Row],[propertyID]]</f>
        <v>97</v>
      </c>
      <c r="L99" s="15">
        <v>0</v>
      </c>
      <c r="M99" s="15" t="s">
        <v>177</v>
      </c>
      <c r="O99" s="14">
        <v>1</v>
      </c>
      <c r="P99" s="14">
        <f>Tabelle2[[#This Row],[propertyID]]</f>
        <v>97</v>
      </c>
      <c r="Q99" s="14">
        <v>0</v>
      </c>
      <c r="R99" s="14" t="s">
        <v>177</v>
      </c>
      <c r="S99" t="s">
        <v>224</v>
      </c>
      <c r="T99" s="14"/>
      <c r="U99" s="14"/>
      <c r="V99" s="14"/>
      <c r="W99" s="14">
        <v>0</v>
      </c>
      <c r="X99" s="14"/>
    </row>
    <row r="100" spans="1:24" x14ac:dyDescent="0.25">
      <c r="A100">
        <v>98</v>
      </c>
      <c r="B100">
        <v>8</v>
      </c>
      <c r="C100" t="s">
        <v>836</v>
      </c>
      <c r="D100" t="s">
        <v>136</v>
      </c>
      <c r="F100" s="14"/>
      <c r="G100" t="s">
        <v>1053</v>
      </c>
      <c r="H100" s="23">
        <v>2</v>
      </c>
      <c r="I100" s="14" t="str">
        <f>TEXT(Tabelle2[[#This Row],[category]],"00")&amp;TEXT(Tabelle2[[#This Row],[internal_order]],"00")</f>
        <v>0802</v>
      </c>
      <c r="J100" s="15">
        <v>2</v>
      </c>
      <c r="K100" s="15">
        <f>Tabelle2[[#This Row],[propertyID]]</f>
        <v>98</v>
      </c>
      <c r="L100" s="15">
        <v>1</v>
      </c>
      <c r="M100" s="15" t="s">
        <v>137</v>
      </c>
      <c r="O100" s="14">
        <v>1</v>
      </c>
      <c r="P100" s="14">
        <f>Tabelle2[[#This Row],[propertyID]]</f>
        <v>98</v>
      </c>
      <c r="Q100" s="14">
        <v>1</v>
      </c>
      <c r="R100" s="14" t="s">
        <v>137</v>
      </c>
      <c r="S100" t="s">
        <v>224</v>
      </c>
      <c r="T100" s="14"/>
      <c r="U100" s="14"/>
      <c r="V100" s="14"/>
      <c r="W100" s="14">
        <v>0</v>
      </c>
      <c r="X100" s="14"/>
    </row>
    <row r="101" spans="1:24" x14ac:dyDescent="0.25">
      <c r="A101">
        <v>99</v>
      </c>
      <c r="B101">
        <v>8</v>
      </c>
      <c r="C101" t="s">
        <v>837</v>
      </c>
      <c r="D101" t="s">
        <v>138</v>
      </c>
      <c r="F101" s="14"/>
      <c r="G101" t="s">
        <v>1053</v>
      </c>
      <c r="H101" s="23">
        <v>3</v>
      </c>
      <c r="I101" s="14" t="str">
        <f>TEXT(Tabelle2[[#This Row],[category]],"00")&amp;TEXT(Tabelle2[[#This Row],[internal_order]],"00")</f>
        <v>0803</v>
      </c>
      <c r="J101" s="15">
        <v>2</v>
      </c>
      <c r="K101" s="15">
        <f>Tabelle2[[#This Row],[propertyID]]</f>
        <v>99</v>
      </c>
      <c r="L101" s="15">
        <v>1</v>
      </c>
      <c r="M101" s="15" t="s">
        <v>139</v>
      </c>
      <c r="O101" s="14">
        <v>1</v>
      </c>
      <c r="P101" s="14">
        <f>Tabelle2[[#This Row],[propertyID]]</f>
        <v>99</v>
      </c>
      <c r="Q101" s="14">
        <v>1</v>
      </c>
      <c r="R101" s="14" t="s">
        <v>139</v>
      </c>
      <c r="S101" t="s">
        <v>224</v>
      </c>
      <c r="T101" s="14"/>
      <c r="U101" s="14"/>
      <c r="V101" s="14"/>
      <c r="W101" s="14">
        <v>0</v>
      </c>
      <c r="X101" s="14"/>
    </row>
    <row r="102" spans="1:24" x14ac:dyDescent="0.25">
      <c r="A102">
        <v>100</v>
      </c>
      <c r="B102">
        <v>8</v>
      </c>
      <c r="C102" t="s">
        <v>838</v>
      </c>
      <c r="D102" t="s">
        <v>140</v>
      </c>
      <c r="F102" s="14"/>
      <c r="G102" t="s">
        <v>1053</v>
      </c>
      <c r="H102" s="23">
        <v>4</v>
      </c>
      <c r="I102" s="14" t="str">
        <f>TEXT(Tabelle2[[#This Row],[category]],"00")&amp;TEXT(Tabelle2[[#This Row],[internal_order]],"00")</f>
        <v>0804</v>
      </c>
      <c r="J102" s="15">
        <v>2</v>
      </c>
      <c r="K102" s="15">
        <f>Tabelle2[[#This Row],[propertyID]]</f>
        <v>100</v>
      </c>
      <c r="L102" s="15">
        <v>1</v>
      </c>
      <c r="M102" s="15" t="s">
        <v>141</v>
      </c>
      <c r="O102" s="14">
        <v>1</v>
      </c>
      <c r="P102" s="14">
        <f>Tabelle2[[#This Row],[propertyID]]</f>
        <v>100</v>
      </c>
      <c r="Q102" s="14">
        <v>1</v>
      </c>
      <c r="R102" s="14" t="s">
        <v>141</v>
      </c>
      <c r="S102" t="s">
        <v>224</v>
      </c>
      <c r="T102" s="14"/>
      <c r="U102" s="14"/>
      <c r="V102" s="14"/>
      <c r="W102" s="14">
        <v>0</v>
      </c>
      <c r="X102" s="14"/>
    </row>
    <row r="103" spans="1:24" x14ac:dyDescent="0.25">
      <c r="A103">
        <v>101</v>
      </c>
      <c r="B103">
        <v>8</v>
      </c>
      <c r="C103" t="s">
        <v>840</v>
      </c>
      <c r="D103" t="s">
        <v>869</v>
      </c>
      <c r="F103" s="14"/>
      <c r="G103" t="s">
        <v>1053</v>
      </c>
      <c r="H103" s="23">
        <v>5</v>
      </c>
      <c r="I103" s="14" t="str">
        <f>TEXT(Tabelle2[[#This Row],[category]],"00")&amp;TEXT(Tabelle2[[#This Row],[internal_order]],"00")</f>
        <v>0805</v>
      </c>
      <c r="J103" s="15">
        <v>2</v>
      </c>
      <c r="K103" s="15">
        <f>Tabelle2[[#This Row],[propertyID]]</f>
        <v>101</v>
      </c>
      <c r="L103" s="15">
        <v>1</v>
      </c>
      <c r="M103" s="15" t="s">
        <v>145</v>
      </c>
      <c r="O103" s="14">
        <v>1</v>
      </c>
      <c r="P103" s="14">
        <f>Tabelle2[[#This Row],[propertyID]]</f>
        <v>101</v>
      </c>
      <c r="Q103" s="14">
        <v>1</v>
      </c>
      <c r="R103" s="14" t="s">
        <v>145</v>
      </c>
      <c r="S103" t="s">
        <v>224</v>
      </c>
      <c r="T103" s="14"/>
      <c r="U103" s="14"/>
      <c r="V103" s="14"/>
      <c r="W103" s="14">
        <v>0</v>
      </c>
      <c r="X103" s="14"/>
    </row>
    <row r="104" spans="1:24" x14ac:dyDescent="0.25">
      <c r="A104">
        <v>102</v>
      </c>
      <c r="B104">
        <v>8</v>
      </c>
      <c r="C104" t="s">
        <v>839</v>
      </c>
      <c r="D104" t="s">
        <v>868</v>
      </c>
      <c r="F104" s="14"/>
      <c r="G104" t="s">
        <v>1053</v>
      </c>
      <c r="H104" s="23">
        <v>6</v>
      </c>
      <c r="I104" s="14" t="str">
        <f>TEXT(Tabelle2[[#This Row],[category]],"00")&amp;TEXT(Tabelle2[[#This Row],[internal_order]],"00")</f>
        <v>0806</v>
      </c>
      <c r="J104" s="15">
        <v>2</v>
      </c>
      <c r="K104" s="15">
        <f>Tabelle2[[#This Row],[propertyID]]</f>
        <v>102</v>
      </c>
      <c r="L104" s="15">
        <v>0</v>
      </c>
      <c r="M104" s="15" t="s">
        <v>143</v>
      </c>
      <c r="O104" s="14">
        <v>1</v>
      </c>
      <c r="P104" s="14">
        <f>Tabelle2[[#This Row],[propertyID]]</f>
        <v>102</v>
      </c>
      <c r="Q104" s="14">
        <v>0</v>
      </c>
      <c r="R104" s="14" t="s">
        <v>143</v>
      </c>
      <c r="S104" t="s">
        <v>224</v>
      </c>
      <c r="T104" s="14"/>
      <c r="U104" s="14"/>
      <c r="V104" s="14"/>
      <c r="W104" s="14">
        <v>0</v>
      </c>
      <c r="X104" s="14"/>
    </row>
    <row r="105" spans="1:24" x14ac:dyDescent="0.25">
      <c r="A105">
        <v>103</v>
      </c>
      <c r="B105">
        <v>8</v>
      </c>
      <c r="C105" t="s">
        <v>841</v>
      </c>
      <c r="D105" t="s">
        <v>870</v>
      </c>
      <c r="F105" s="14"/>
      <c r="G105" t="s">
        <v>1053</v>
      </c>
      <c r="H105" s="23">
        <v>7</v>
      </c>
      <c r="I105" s="14" t="str">
        <f>TEXT(Tabelle2[[#This Row],[category]],"00")&amp;TEXT(Tabelle2[[#This Row],[internal_order]],"00")</f>
        <v>0807</v>
      </c>
      <c r="J105" s="15">
        <v>2</v>
      </c>
      <c r="K105" s="15">
        <f>Tabelle2[[#This Row],[propertyID]]</f>
        <v>103</v>
      </c>
      <c r="L105" s="15">
        <v>0</v>
      </c>
      <c r="M105" s="15" t="s">
        <v>147</v>
      </c>
      <c r="O105" s="14">
        <v>1</v>
      </c>
      <c r="P105" s="14">
        <f>Tabelle2[[#This Row],[propertyID]]</f>
        <v>103</v>
      </c>
      <c r="Q105" s="14">
        <v>0</v>
      </c>
      <c r="R105" s="14" t="s">
        <v>147</v>
      </c>
      <c r="S105" t="s">
        <v>224</v>
      </c>
      <c r="T105" s="14"/>
      <c r="U105" s="14"/>
      <c r="V105" s="14"/>
      <c r="W105" s="14">
        <v>0</v>
      </c>
      <c r="X105" s="14"/>
    </row>
    <row r="106" spans="1:24" x14ac:dyDescent="0.25">
      <c r="A106">
        <v>104</v>
      </c>
      <c r="B106">
        <v>8</v>
      </c>
      <c r="C106" t="s">
        <v>846</v>
      </c>
      <c r="D106" t="s">
        <v>156</v>
      </c>
      <c r="F106" s="14"/>
      <c r="G106" t="s">
        <v>1053</v>
      </c>
      <c r="H106" s="23">
        <v>8</v>
      </c>
      <c r="I106" s="14" t="str">
        <f>TEXT(Tabelle2[[#This Row],[category]],"00")&amp;TEXT(Tabelle2[[#This Row],[internal_order]],"00")</f>
        <v>0808</v>
      </c>
      <c r="J106" s="15">
        <v>2</v>
      </c>
      <c r="K106" s="15">
        <f>Tabelle2[[#This Row],[propertyID]]</f>
        <v>104</v>
      </c>
      <c r="L106" s="15">
        <v>0</v>
      </c>
      <c r="M106" s="15" t="s">
        <v>157</v>
      </c>
      <c r="O106" s="14">
        <v>1</v>
      </c>
      <c r="P106" s="14">
        <f>Tabelle2[[#This Row],[propertyID]]</f>
        <v>104</v>
      </c>
      <c r="Q106" s="14">
        <v>0</v>
      </c>
      <c r="R106" s="14" t="s">
        <v>157</v>
      </c>
      <c r="S106" t="s">
        <v>224</v>
      </c>
      <c r="T106" s="14"/>
      <c r="U106" s="14"/>
      <c r="V106" s="14"/>
      <c r="W106" s="14">
        <v>0</v>
      </c>
      <c r="X106" s="14"/>
    </row>
    <row r="107" spans="1:24" x14ac:dyDescent="0.25">
      <c r="A107">
        <v>105</v>
      </c>
      <c r="B107">
        <v>8</v>
      </c>
      <c r="C107" t="s">
        <v>845</v>
      </c>
      <c r="D107" t="s">
        <v>154</v>
      </c>
      <c r="F107" s="14"/>
      <c r="G107" t="s">
        <v>1053</v>
      </c>
      <c r="H107" s="23">
        <v>9</v>
      </c>
      <c r="I107" s="14" t="str">
        <f>TEXT(Tabelle2[[#This Row],[category]],"00")&amp;TEXT(Tabelle2[[#This Row],[internal_order]],"00")</f>
        <v>0809</v>
      </c>
      <c r="J107" s="15">
        <v>2</v>
      </c>
      <c r="K107" s="15">
        <f>Tabelle2[[#This Row],[propertyID]]</f>
        <v>105</v>
      </c>
      <c r="L107" s="15">
        <v>0</v>
      </c>
      <c r="M107" s="15" t="s">
        <v>155</v>
      </c>
      <c r="O107" s="14">
        <v>1</v>
      </c>
      <c r="P107" s="14">
        <f>Tabelle2[[#This Row],[propertyID]]</f>
        <v>105</v>
      </c>
      <c r="Q107" s="14">
        <v>0</v>
      </c>
      <c r="R107" s="14" t="s">
        <v>155</v>
      </c>
      <c r="S107" t="s">
        <v>224</v>
      </c>
      <c r="T107" s="14"/>
      <c r="U107" s="14"/>
      <c r="V107" s="14"/>
      <c r="W107" s="14">
        <v>0</v>
      </c>
      <c r="X107" s="14"/>
    </row>
    <row r="108" spans="1:24" x14ac:dyDescent="0.25">
      <c r="A108">
        <v>106</v>
      </c>
      <c r="B108">
        <v>8</v>
      </c>
      <c r="C108" t="s">
        <v>844</v>
      </c>
      <c r="D108" t="s">
        <v>152</v>
      </c>
      <c r="F108" s="14"/>
      <c r="G108" t="s">
        <v>1053</v>
      </c>
      <c r="H108" s="23">
        <v>10</v>
      </c>
      <c r="I108" s="14" t="str">
        <f>TEXT(Tabelle2[[#This Row],[category]],"00")&amp;TEXT(Tabelle2[[#This Row],[internal_order]],"00")</f>
        <v>0810</v>
      </c>
      <c r="J108" s="15">
        <v>2</v>
      </c>
      <c r="K108" s="15">
        <f>Tabelle2[[#This Row],[propertyID]]</f>
        <v>106</v>
      </c>
      <c r="L108" s="15">
        <v>0</v>
      </c>
      <c r="M108" s="15" t="s">
        <v>153</v>
      </c>
      <c r="O108" s="14">
        <v>1</v>
      </c>
      <c r="P108" s="14">
        <f>Tabelle2[[#This Row],[propertyID]]</f>
        <v>106</v>
      </c>
      <c r="Q108" s="14">
        <v>0</v>
      </c>
      <c r="R108" s="14" t="s">
        <v>153</v>
      </c>
      <c r="S108" t="s">
        <v>224</v>
      </c>
      <c r="T108" s="14"/>
      <c r="U108" s="14"/>
      <c r="V108" s="14"/>
      <c r="W108" s="14">
        <v>0</v>
      </c>
      <c r="X108" s="14"/>
    </row>
    <row r="109" spans="1:24" x14ac:dyDescent="0.25">
      <c r="A109">
        <v>107</v>
      </c>
      <c r="B109">
        <v>8</v>
      </c>
      <c r="C109" t="s">
        <v>848</v>
      </c>
      <c r="D109" t="s">
        <v>160</v>
      </c>
      <c r="F109" s="14"/>
      <c r="G109" t="s">
        <v>1053</v>
      </c>
      <c r="H109" s="23">
        <v>11</v>
      </c>
      <c r="I109" s="14" t="str">
        <f>TEXT(Tabelle2[[#This Row],[category]],"00")&amp;TEXT(Tabelle2[[#This Row],[internal_order]],"00")</f>
        <v>0811</v>
      </c>
      <c r="J109" s="15">
        <v>2</v>
      </c>
      <c r="K109" s="15">
        <f>Tabelle2[[#This Row],[propertyID]]</f>
        <v>107</v>
      </c>
      <c r="L109" s="15">
        <v>1</v>
      </c>
      <c r="M109" s="15" t="s">
        <v>161</v>
      </c>
      <c r="O109" s="14">
        <v>1</v>
      </c>
      <c r="P109" s="14">
        <f>Tabelle2[[#This Row],[propertyID]]</f>
        <v>107</v>
      </c>
      <c r="Q109" s="14">
        <v>1</v>
      </c>
      <c r="R109" s="14" t="s">
        <v>161</v>
      </c>
      <c r="S109" t="s">
        <v>224</v>
      </c>
      <c r="T109" s="14"/>
      <c r="U109" s="14"/>
      <c r="V109" s="14"/>
      <c r="W109" s="14">
        <v>0</v>
      </c>
      <c r="X109" s="14"/>
    </row>
    <row r="110" spans="1:24" x14ac:dyDescent="0.25">
      <c r="A110">
        <v>108</v>
      </c>
      <c r="B110">
        <v>8</v>
      </c>
      <c r="C110" t="s">
        <v>847</v>
      </c>
      <c r="D110" t="s">
        <v>158</v>
      </c>
      <c r="F110" s="14"/>
      <c r="G110" t="s">
        <v>1053</v>
      </c>
      <c r="H110" s="23">
        <v>12</v>
      </c>
      <c r="I110" s="14" t="str">
        <f>TEXT(Tabelle2[[#This Row],[category]],"00")&amp;TEXT(Tabelle2[[#This Row],[internal_order]],"00")</f>
        <v>0812</v>
      </c>
      <c r="J110" s="15">
        <v>2</v>
      </c>
      <c r="K110" s="15">
        <f>Tabelle2[[#This Row],[propertyID]]</f>
        <v>108</v>
      </c>
      <c r="L110" s="15">
        <v>1</v>
      </c>
      <c r="M110" s="15" t="s">
        <v>159</v>
      </c>
      <c r="O110" s="14">
        <v>1</v>
      </c>
      <c r="P110" s="14">
        <f>Tabelle2[[#This Row],[propertyID]]</f>
        <v>108</v>
      </c>
      <c r="Q110" s="14">
        <v>1</v>
      </c>
      <c r="R110" s="14" t="s">
        <v>159</v>
      </c>
      <c r="S110" t="s">
        <v>224</v>
      </c>
      <c r="T110" s="14"/>
      <c r="U110" s="14"/>
      <c r="V110" s="14"/>
      <c r="W110" s="14">
        <v>0</v>
      </c>
      <c r="X110" s="14"/>
    </row>
    <row r="111" spans="1:24" x14ac:dyDescent="0.25">
      <c r="A111">
        <v>109</v>
      </c>
      <c r="B111">
        <v>8</v>
      </c>
      <c r="C111" t="s">
        <v>843</v>
      </c>
      <c r="D111" t="s">
        <v>150</v>
      </c>
      <c r="F111" s="14"/>
      <c r="G111" t="s">
        <v>1053</v>
      </c>
      <c r="H111" s="23">
        <v>13</v>
      </c>
      <c r="I111" s="14" t="str">
        <f>TEXT(Tabelle2[[#This Row],[category]],"00")&amp;TEXT(Tabelle2[[#This Row],[internal_order]],"00")</f>
        <v>0813</v>
      </c>
      <c r="J111" s="15">
        <v>2</v>
      </c>
      <c r="K111" s="15">
        <f>Tabelle2[[#This Row],[propertyID]]</f>
        <v>109</v>
      </c>
      <c r="L111" s="15">
        <v>0</v>
      </c>
      <c r="M111" s="15" t="s">
        <v>151</v>
      </c>
      <c r="O111" s="14">
        <v>1</v>
      </c>
      <c r="P111" s="14">
        <f>Tabelle2[[#This Row],[propertyID]]</f>
        <v>109</v>
      </c>
      <c r="Q111" s="14">
        <v>0</v>
      </c>
      <c r="R111" s="14" t="s">
        <v>151</v>
      </c>
      <c r="S111" t="s">
        <v>224</v>
      </c>
      <c r="T111" s="14"/>
      <c r="U111" s="14"/>
      <c r="V111" s="14"/>
      <c r="W111" s="14">
        <v>0</v>
      </c>
      <c r="X111" s="14"/>
    </row>
    <row r="112" spans="1:24" x14ac:dyDescent="0.25">
      <c r="A112">
        <v>110</v>
      </c>
      <c r="B112">
        <v>8</v>
      </c>
      <c r="C112" t="s">
        <v>842</v>
      </c>
      <c r="D112" t="s">
        <v>148</v>
      </c>
      <c r="F112" s="14"/>
      <c r="G112" t="s">
        <v>1053</v>
      </c>
      <c r="H112" s="23">
        <v>14</v>
      </c>
      <c r="I112" s="14" t="str">
        <f>TEXT(Tabelle2[[#This Row],[category]],"00")&amp;TEXT(Tabelle2[[#This Row],[internal_order]],"00")</f>
        <v>0814</v>
      </c>
      <c r="J112" s="15">
        <v>2</v>
      </c>
      <c r="K112" s="15">
        <f>Tabelle2[[#This Row],[propertyID]]</f>
        <v>110</v>
      </c>
      <c r="L112" s="15">
        <v>0</v>
      </c>
      <c r="M112" s="15" t="s">
        <v>149</v>
      </c>
      <c r="O112" s="14">
        <v>1</v>
      </c>
      <c r="P112" s="14">
        <f>Tabelle2[[#This Row],[propertyID]]</f>
        <v>110</v>
      </c>
      <c r="Q112" s="14">
        <v>0</v>
      </c>
      <c r="R112" s="14" t="s">
        <v>149</v>
      </c>
      <c r="S112" t="s">
        <v>224</v>
      </c>
      <c r="T112" s="14"/>
      <c r="U112" s="14"/>
      <c r="V112" s="14"/>
      <c r="W112" s="14">
        <v>0</v>
      </c>
      <c r="X112" s="14"/>
    </row>
    <row r="113" spans="1:24" x14ac:dyDescent="0.25">
      <c r="A113">
        <v>111</v>
      </c>
      <c r="B113">
        <v>8</v>
      </c>
      <c r="C113" t="s">
        <v>1067</v>
      </c>
      <c r="D113" t="s">
        <v>1083</v>
      </c>
      <c r="F113" s="14"/>
      <c r="G113" t="s">
        <v>1053</v>
      </c>
      <c r="H113" s="23">
        <v>15</v>
      </c>
      <c r="I113" s="14" t="str">
        <f>TEXT(Tabelle2[[#This Row],[category]],"00")&amp;TEXT(Tabelle2[[#This Row],[internal_order]],"00")</f>
        <v>0815</v>
      </c>
      <c r="J113" s="15"/>
      <c r="K113" s="15">
        <f>Tabelle2[[#This Row],[propertyID]]</f>
        <v>111</v>
      </c>
      <c r="L113" s="15"/>
      <c r="M113" s="15"/>
      <c r="O113" s="14"/>
      <c r="P113" s="14">
        <f>Tabelle2[[#This Row],[propertyID]]</f>
        <v>111</v>
      </c>
      <c r="Q113" s="14"/>
      <c r="R113" s="14"/>
      <c r="S113" t="s">
        <v>224</v>
      </c>
      <c r="T113" s="14"/>
      <c r="U113" s="14"/>
      <c r="V113" s="14"/>
      <c r="W113" s="14">
        <v>0</v>
      </c>
      <c r="X113" s="14"/>
    </row>
    <row r="114" spans="1:24" x14ac:dyDescent="0.25">
      <c r="A114">
        <v>112</v>
      </c>
      <c r="B114">
        <v>8</v>
      </c>
      <c r="C114" t="s">
        <v>1065</v>
      </c>
      <c r="D114" t="s">
        <v>1081</v>
      </c>
      <c r="F114" s="14"/>
      <c r="G114" t="s">
        <v>1053</v>
      </c>
      <c r="H114" s="23">
        <v>16</v>
      </c>
      <c r="I114" s="14" t="str">
        <f>TEXT(Tabelle2[[#This Row],[category]],"00")&amp;TEXT(Tabelle2[[#This Row],[internal_order]],"00")</f>
        <v>0816</v>
      </c>
      <c r="J114" s="15">
        <v>2</v>
      </c>
      <c r="K114" s="15">
        <f>Tabelle2[[#This Row],[propertyID]]</f>
        <v>112</v>
      </c>
      <c r="L114" s="15">
        <v>0</v>
      </c>
      <c r="M114" s="15" t="s">
        <v>1089</v>
      </c>
      <c r="O114" s="14">
        <v>1</v>
      </c>
      <c r="P114" s="14">
        <f>Tabelle2[[#This Row],[propertyID]]</f>
        <v>112</v>
      </c>
      <c r="Q114" s="14">
        <v>0</v>
      </c>
      <c r="R114" s="14" t="s">
        <v>1089</v>
      </c>
      <c r="S114" t="s">
        <v>224</v>
      </c>
      <c r="T114" s="14"/>
      <c r="U114" s="14"/>
      <c r="V114" s="14"/>
      <c r="W114" s="14">
        <v>0</v>
      </c>
      <c r="X114" s="14"/>
    </row>
    <row r="115" spans="1:24" x14ac:dyDescent="0.25">
      <c r="A115">
        <v>113</v>
      </c>
      <c r="B115">
        <v>8</v>
      </c>
      <c r="C115" t="s">
        <v>1066</v>
      </c>
      <c r="D115" t="s">
        <v>1082</v>
      </c>
      <c r="F115" s="14"/>
      <c r="G115" t="s">
        <v>1053</v>
      </c>
      <c r="H115" s="23">
        <v>17</v>
      </c>
      <c r="I115" s="14" t="str">
        <f>TEXT(Tabelle2[[#This Row],[category]],"00")&amp;TEXT(Tabelle2[[#This Row],[internal_order]],"00")</f>
        <v>0817</v>
      </c>
      <c r="J115" s="15">
        <v>2</v>
      </c>
      <c r="K115" s="15">
        <f>Tabelle2[[#This Row],[propertyID]]</f>
        <v>113</v>
      </c>
      <c r="L115" s="15">
        <v>0</v>
      </c>
      <c r="M115" s="15" t="s">
        <v>1090</v>
      </c>
      <c r="O115" s="14"/>
      <c r="P115" s="14">
        <f>Tabelle2[[#This Row],[propertyID]]</f>
        <v>113</v>
      </c>
      <c r="Q115" s="14"/>
      <c r="R115" s="14"/>
      <c r="S115" t="s">
        <v>224</v>
      </c>
      <c r="T115" s="14"/>
      <c r="U115" s="14"/>
      <c r="V115" s="14"/>
      <c r="W115" s="14">
        <v>0</v>
      </c>
      <c r="X115" s="14"/>
    </row>
    <row r="116" spans="1:24" x14ac:dyDescent="0.25">
      <c r="A116">
        <v>114</v>
      </c>
      <c r="B116">
        <v>9</v>
      </c>
      <c r="C116" t="s">
        <v>180</v>
      </c>
      <c r="D116" t="s">
        <v>644</v>
      </c>
      <c r="F116" s="14"/>
      <c r="G116" t="s">
        <v>1052</v>
      </c>
      <c r="H116" s="23">
        <v>1</v>
      </c>
      <c r="I116" s="14" t="str">
        <f>TEXT(Tabelle2[[#This Row],[category]],"00")&amp;TEXT(Tabelle2[[#This Row],[internal_order]],"00")</f>
        <v>0901</v>
      </c>
      <c r="J116" s="15">
        <v>2</v>
      </c>
      <c r="K116" s="15">
        <f>Tabelle2[[#This Row],[propertyID]]</f>
        <v>114</v>
      </c>
      <c r="L116" s="15">
        <v>10000</v>
      </c>
      <c r="M116" s="15" t="s">
        <v>181</v>
      </c>
      <c r="O116" s="14">
        <v>1</v>
      </c>
      <c r="P116" s="14">
        <f>Tabelle2[[#This Row],[propertyID]]</f>
        <v>114</v>
      </c>
      <c r="Q116" s="14">
        <v>10000</v>
      </c>
      <c r="R116" s="14" t="s">
        <v>181</v>
      </c>
      <c r="S116" t="s">
        <v>223</v>
      </c>
      <c r="T116" s="14"/>
      <c r="U116" s="14"/>
      <c r="V116" s="14"/>
      <c r="W116" s="14">
        <v>-10000000</v>
      </c>
      <c r="X116" s="14">
        <v>10000000</v>
      </c>
    </row>
    <row r="117" spans="1:24" x14ac:dyDescent="0.25">
      <c r="A117">
        <v>115</v>
      </c>
      <c r="B117">
        <v>9</v>
      </c>
      <c r="C117" t="s">
        <v>182</v>
      </c>
      <c r="D117" t="s">
        <v>645</v>
      </c>
      <c r="F117" s="14"/>
      <c r="G117" t="s">
        <v>1052</v>
      </c>
      <c r="H117" s="23">
        <v>2</v>
      </c>
      <c r="I117" s="14" t="str">
        <f>TEXT(Tabelle2[[#This Row],[category]],"00")&amp;TEXT(Tabelle2[[#This Row],[internal_order]],"00")</f>
        <v>0902</v>
      </c>
      <c r="J117" s="15">
        <v>2</v>
      </c>
      <c r="K117" s="15">
        <f>Tabelle2[[#This Row],[propertyID]]</f>
        <v>115</v>
      </c>
      <c r="L117" s="15">
        <v>1</v>
      </c>
      <c r="M117" s="15" t="s">
        <v>183</v>
      </c>
      <c r="O117" s="14">
        <v>1</v>
      </c>
      <c r="P117" s="14">
        <f>Tabelle2[[#This Row],[propertyID]]</f>
        <v>115</v>
      </c>
      <c r="Q117" s="14">
        <v>1</v>
      </c>
      <c r="R117" s="14" t="s">
        <v>183</v>
      </c>
      <c r="S117" t="s">
        <v>223</v>
      </c>
      <c r="T117" s="14"/>
      <c r="U117" s="14"/>
      <c r="V117" s="14"/>
      <c r="W117" s="14">
        <v>-10000000</v>
      </c>
      <c r="X117" s="14">
        <v>10000000</v>
      </c>
    </row>
    <row r="118" spans="1:24" x14ac:dyDescent="0.25">
      <c r="A118">
        <v>116</v>
      </c>
      <c r="B118">
        <v>9</v>
      </c>
      <c r="C118" t="s">
        <v>184</v>
      </c>
      <c r="D118" t="s">
        <v>646</v>
      </c>
      <c r="F118" s="14"/>
      <c r="G118" t="s">
        <v>1052</v>
      </c>
      <c r="H118" s="23">
        <v>3</v>
      </c>
      <c r="I118" s="14" t="str">
        <f>TEXT(Tabelle2[[#This Row],[category]],"00")&amp;TEXT(Tabelle2[[#This Row],[internal_order]],"00")</f>
        <v>0903</v>
      </c>
      <c r="J118" s="15">
        <v>2</v>
      </c>
      <c r="K118" s="15">
        <f>Tabelle2[[#This Row],[propertyID]]</f>
        <v>116</v>
      </c>
      <c r="L118" s="15">
        <v>-1</v>
      </c>
      <c r="M118" s="15" t="s">
        <v>185</v>
      </c>
      <c r="O118" s="14">
        <v>1</v>
      </c>
      <c r="P118" s="14">
        <f>Tabelle2[[#This Row],[propertyID]]</f>
        <v>116</v>
      </c>
      <c r="Q118" s="14">
        <v>-1</v>
      </c>
      <c r="R118" s="14" t="s">
        <v>185</v>
      </c>
      <c r="S118" t="s">
        <v>223</v>
      </c>
      <c r="T118" s="14"/>
      <c r="U118" s="14"/>
      <c r="V118" s="14"/>
      <c r="W118" s="14">
        <v>-10000000</v>
      </c>
      <c r="X118" s="14">
        <v>10000000</v>
      </c>
    </row>
    <row r="119" spans="1:24" x14ac:dyDescent="0.25">
      <c r="A119">
        <v>117</v>
      </c>
      <c r="B119">
        <v>9</v>
      </c>
      <c r="C119" t="s">
        <v>1406</v>
      </c>
      <c r="D119" t="s">
        <v>1409</v>
      </c>
      <c r="E119" t="s">
        <v>889</v>
      </c>
      <c r="F119" s="14" t="s">
        <v>889</v>
      </c>
      <c r="G119" t="s">
        <v>1052</v>
      </c>
      <c r="H119" s="23">
        <v>4</v>
      </c>
      <c r="I119" s="14" t="str">
        <f>TEXT(Tabelle2[[#This Row],[category]],"00")&amp;TEXT(Tabelle2[[#This Row],[internal_order]],"00")</f>
        <v>0904</v>
      </c>
      <c r="J119" s="15">
        <v>2</v>
      </c>
      <c r="K119" s="15">
        <f>Tabelle2[[#This Row],[propertyID]]</f>
        <v>117</v>
      </c>
      <c r="L119" s="15">
        <v>20</v>
      </c>
      <c r="M119" s="15"/>
      <c r="O119" s="14">
        <v>1</v>
      </c>
      <c r="P119" s="14">
        <f>Tabelle2[[#This Row],[propertyID]]</f>
        <v>117</v>
      </c>
      <c r="Q119" s="14">
        <v>20</v>
      </c>
      <c r="R119" s="14"/>
      <c r="T119" s="14"/>
      <c r="U119" s="14"/>
      <c r="V119" s="14"/>
      <c r="W119" s="14">
        <v>0</v>
      </c>
      <c r="X119" s="14"/>
    </row>
    <row r="120" spans="1:24" x14ac:dyDescent="0.25">
      <c r="A120">
        <v>118</v>
      </c>
      <c r="B120">
        <v>9</v>
      </c>
      <c r="C120" t="s">
        <v>188</v>
      </c>
      <c r="D120" t="s">
        <v>648</v>
      </c>
      <c r="F120" s="14"/>
      <c r="G120" t="s">
        <v>1052</v>
      </c>
      <c r="H120" s="23">
        <v>5</v>
      </c>
      <c r="I120" s="14" t="str">
        <f>TEXT(Tabelle2[[#This Row],[category]],"00")&amp;TEXT(Tabelle2[[#This Row],[internal_order]],"00")</f>
        <v>0905</v>
      </c>
      <c r="J120" s="15">
        <v>2</v>
      </c>
      <c r="K120" s="15">
        <f>Tabelle2[[#This Row],[propertyID]]</f>
        <v>118</v>
      </c>
      <c r="L120" s="15">
        <v>8</v>
      </c>
      <c r="M120" s="15" t="s">
        <v>189</v>
      </c>
      <c r="O120" s="14">
        <v>1</v>
      </c>
      <c r="P120" s="14">
        <f>Tabelle2[[#This Row],[propertyID]]</f>
        <v>118</v>
      </c>
      <c r="Q120" s="14">
        <v>8</v>
      </c>
      <c r="R120" s="14" t="s">
        <v>189</v>
      </c>
      <c r="S120" t="s">
        <v>223</v>
      </c>
      <c r="T120" s="14"/>
      <c r="U120" s="14"/>
      <c r="V120" s="14"/>
      <c r="W120" s="14">
        <v>-10000000</v>
      </c>
      <c r="X120" s="14">
        <v>10000000</v>
      </c>
    </row>
    <row r="121" spans="1:24" x14ac:dyDescent="0.25">
      <c r="A121">
        <v>119</v>
      </c>
      <c r="B121">
        <v>9</v>
      </c>
      <c r="C121" t="s">
        <v>186</v>
      </c>
      <c r="D121" t="s">
        <v>647</v>
      </c>
      <c r="F121" s="14"/>
      <c r="G121" t="s">
        <v>1052</v>
      </c>
      <c r="H121" s="23">
        <v>6</v>
      </c>
      <c r="I121" s="14" t="str">
        <f>TEXT(Tabelle2[[#This Row],[category]],"00")&amp;TEXT(Tabelle2[[#This Row],[internal_order]],"00")</f>
        <v>0906</v>
      </c>
      <c r="J121" s="15">
        <v>2</v>
      </c>
      <c r="K121" s="15">
        <f>Tabelle2[[#This Row],[propertyID]]</f>
        <v>119</v>
      </c>
      <c r="L121" s="15">
        <v>0.1</v>
      </c>
      <c r="M121" s="15" t="s">
        <v>187</v>
      </c>
      <c r="O121" s="14">
        <v>1</v>
      </c>
      <c r="P121" s="14">
        <f>Tabelle2[[#This Row],[propertyID]]</f>
        <v>119</v>
      </c>
      <c r="Q121" s="14">
        <v>0.1</v>
      </c>
      <c r="R121" s="14" t="s">
        <v>187</v>
      </c>
      <c r="S121" t="s">
        <v>223</v>
      </c>
      <c r="T121" s="14"/>
      <c r="U121" s="14"/>
      <c r="V121" s="14"/>
      <c r="W121" s="14">
        <v>-10000000</v>
      </c>
      <c r="X121" s="14">
        <v>10000000</v>
      </c>
    </row>
    <row r="122" spans="1:24" x14ac:dyDescent="0.25">
      <c r="A122">
        <v>120</v>
      </c>
      <c r="B122">
        <v>9</v>
      </c>
      <c r="C122" t="s">
        <v>192</v>
      </c>
      <c r="D122" t="s">
        <v>650</v>
      </c>
      <c r="F122" s="14"/>
      <c r="G122" t="s">
        <v>1052</v>
      </c>
      <c r="H122" s="23">
        <v>7</v>
      </c>
      <c r="I122" s="14" t="str">
        <f>TEXT(Tabelle2[[#This Row],[category]],"00")&amp;TEXT(Tabelle2[[#This Row],[internal_order]],"00")</f>
        <v>0907</v>
      </c>
      <c r="J122" s="15">
        <v>2</v>
      </c>
      <c r="K122" s="15">
        <f>Tabelle2[[#This Row],[propertyID]]</f>
        <v>120</v>
      </c>
      <c r="L122" s="15">
        <v>10</v>
      </c>
      <c r="M122" s="15" t="s">
        <v>191</v>
      </c>
      <c r="O122" s="14">
        <v>1</v>
      </c>
      <c r="P122" s="14">
        <f>Tabelle2[[#This Row],[propertyID]]</f>
        <v>120</v>
      </c>
      <c r="Q122" s="14">
        <v>10</v>
      </c>
      <c r="R122" s="14" t="s">
        <v>191</v>
      </c>
      <c r="S122" t="s">
        <v>223</v>
      </c>
      <c r="T122" s="14"/>
      <c r="U122" s="14"/>
      <c r="V122" s="14"/>
      <c r="W122" s="14">
        <v>-10000000</v>
      </c>
      <c r="X122" s="14">
        <v>10000000</v>
      </c>
    </row>
    <row r="123" spans="1:24" x14ac:dyDescent="0.25">
      <c r="A123">
        <v>121</v>
      </c>
      <c r="B123">
        <v>9</v>
      </c>
      <c r="C123" t="s">
        <v>190</v>
      </c>
      <c r="D123" t="s">
        <v>649</v>
      </c>
      <c r="F123" s="14"/>
      <c r="G123" t="s">
        <v>1052</v>
      </c>
      <c r="H123" s="23">
        <v>8</v>
      </c>
      <c r="I123" s="14" t="str">
        <f>TEXT(Tabelle2[[#This Row],[category]],"00")&amp;TEXT(Tabelle2[[#This Row],[internal_order]],"00")</f>
        <v>0908</v>
      </c>
      <c r="J123" s="15">
        <v>2</v>
      </c>
      <c r="K123" s="15">
        <f>Tabelle2[[#This Row],[propertyID]]</f>
        <v>121</v>
      </c>
      <c r="L123" s="15">
        <v>0.01</v>
      </c>
      <c r="M123" s="15" t="s">
        <v>191</v>
      </c>
      <c r="O123" s="14">
        <v>1</v>
      </c>
      <c r="P123" s="14">
        <f>Tabelle2[[#This Row],[propertyID]]</f>
        <v>121</v>
      </c>
      <c r="Q123" s="14">
        <v>0.01</v>
      </c>
      <c r="R123" s="14" t="s">
        <v>191</v>
      </c>
      <c r="S123" t="s">
        <v>223</v>
      </c>
      <c r="T123" s="14"/>
      <c r="U123" s="14"/>
      <c r="V123" s="14"/>
      <c r="W123" s="14">
        <v>-10000000</v>
      </c>
      <c r="X123" s="14">
        <v>10000000</v>
      </c>
    </row>
    <row r="124" spans="1:24" x14ac:dyDescent="0.25">
      <c r="A124">
        <v>122</v>
      </c>
      <c r="B124">
        <v>9</v>
      </c>
      <c r="C124" t="s">
        <v>1407</v>
      </c>
      <c r="D124" t="s">
        <v>1416</v>
      </c>
      <c r="E124" t="s">
        <v>889</v>
      </c>
      <c r="F124" s="14" t="s">
        <v>889</v>
      </c>
      <c r="G124" t="s">
        <v>1052</v>
      </c>
      <c r="H124" s="23">
        <v>9</v>
      </c>
      <c r="I124" s="14" t="str">
        <f>TEXT(Tabelle2[[#This Row],[category]],"00")&amp;TEXT(Tabelle2[[#This Row],[internal_order]],"00")</f>
        <v>0909</v>
      </c>
      <c r="J124" s="15">
        <v>2</v>
      </c>
      <c r="K124" s="15">
        <f>Tabelle2[[#This Row],[propertyID]]</f>
        <v>122</v>
      </c>
      <c r="L124" s="15">
        <v>20</v>
      </c>
      <c r="M124" s="15"/>
      <c r="O124" s="14">
        <v>1</v>
      </c>
      <c r="P124" s="14">
        <f>Tabelle2[[#This Row],[propertyID]]</f>
        <v>122</v>
      </c>
      <c r="Q124" s="14">
        <v>20</v>
      </c>
      <c r="R124" s="14"/>
      <c r="T124" s="14"/>
      <c r="U124" s="14"/>
      <c r="V124" s="14"/>
      <c r="W124" s="14">
        <v>0</v>
      </c>
      <c r="X124" s="14"/>
    </row>
    <row r="125" spans="1:24" x14ac:dyDescent="0.25">
      <c r="A125">
        <v>123</v>
      </c>
      <c r="B125">
        <v>9</v>
      </c>
      <c r="C125" t="s">
        <v>195</v>
      </c>
      <c r="D125" t="s">
        <v>652</v>
      </c>
      <c r="F125" s="14"/>
      <c r="G125" t="s">
        <v>1052</v>
      </c>
      <c r="H125" s="23">
        <v>10</v>
      </c>
      <c r="I125" s="14" t="str">
        <f>TEXT(Tabelle2[[#This Row],[category]],"00")&amp;TEXT(Tabelle2[[#This Row],[internal_order]],"00")</f>
        <v>0910</v>
      </c>
      <c r="J125" s="15">
        <v>2</v>
      </c>
      <c r="K125" s="15">
        <f>Tabelle2[[#This Row],[propertyID]]</f>
        <v>123</v>
      </c>
      <c r="L125" s="15">
        <v>10</v>
      </c>
      <c r="M125" s="15" t="s">
        <v>196</v>
      </c>
      <c r="O125" s="14">
        <v>1</v>
      </c>
      <c r="P125" s="14">
        <f>Tabelle2[[#This Row],[propertyID]]</f>
        <v>123</v>
      </c>
      <c r="Q125" s="14">
        <v>10</v>
      </c>
      <c r="R125" s="14" t="s">
        <v>196</v>
      </c>
      <c r="S125" t="s">
        <v>223</v>
      </c>
      <c r="T125" s="14"/>
      <c r="U125" s="14"/>
      <c r="V125" s="14"/>
      <c r="W125" s="14">
        <v>-10000000</v>
      </c>
      <c r="X125" s="14">
        <v>10000000</v>
      </c>
    </row>
    <row r="126" spans="1:24" x14ac:dyDescent="0.25">
      <c r="A126">
        <v>124</v>
      </c>
      <c r="B126">
        <v>9</v>
      </c>
      <c r="C126" t="s">
        <v>193</v>
      </c>
      <c r="D126" t="s">
        <v>651</v>
      </c>
      <c r="F126" s="14"/>
      <c r="G126" t="s">
        <v>1052</v>
      </c>
      <c r="H126" s="23">
        <v>11</v>
      </c>
      <c r="I126" s="14" t="str">
        <f>TEXT(Tabelle2[[#This Row],[category]],"00")&amp;TEXT(Tabelle2[[#This Row],[internal_order]],"00")</f>
        <v>0911</v>
      </c>
      <c r="J126" s="15">
        <v>2</v>
      </c>
      <c r="K126" s="15">
        <f>Tabelle2[[#This Row],[propertyID]]</f>
        <v>124</v>
      </c>
      <c r="L126" s="15">
        <v>1000</v>
      </c>
      <c r="M126" s="15" t="s">
        <v>194</v>
      </c>
      <c r="O126" s="14">
        <v>1</v>
      </c>
      <c r="P126" s="14">
        <f>Tabelle2[[#This Row],[propertyID]]</f>
        <v>124</v>
      </c>
      <c r="Q126" s="14">
        <v>1000</v>
      </c>
      <c r="R126" s="14" t="s">
        <v>194</v>
      </c>
      <c r="S126" t="s">
        <v>223</v>
      </c>
      <c r="T126" s="14"/>
      <c r="U126" s="14"/>
      <c r="V126" s="14"/>
      <c r="W126" s="14">
        <v>-10000000</v>
      </c>
      <c r="X126" s="14">
        <v>10000000</v>
      </c>
    </row>
    <row r="127" spans="1:24" x14ac:dyDescent="0.25">
      <c r="A127">
        <v>125</v>
      </c>
      <c r="B127">
        <v>9</v>
      </c>
      <c r="C127" t="s">
        <v>207</v>
      </c>
      <c r="D127" t="s">
        <v>658</v>
      </c>
      <c r="F127" s="14"/>
      <c r="G127" t="s">
        <v>1052</v>
      </c>
      <c r="H127" s="23">
        <v>12</v>
      </c>
      <c r="I127" s="14" t="str">
        <f>TEXT(Tabelle2[[#This Row],[category]],"00")&amp;TEXT(Tabelle2[[#This Row],[internal_order]],"00")</f>
        <v>0912</v>
      </c>
      <c r="J127" s="15">
        <v>2</v>
      </c>
      <c r="K127" s="15">
        <f>Tabelle2[[#This Row],[propertyID]]</f>
        <v>125</v>
      </c>
      <c r="L127" s="15">
        <v>20</v>
      </c>
      <c r="M127" s="15" t="s">
        <v>208</v>
      </c>
      <c r="O127" s="14">
        <v>1</v>
      </c>
      <c r="P127" s="14">
        <f>Tabelle2[[#This Row],[propertyID]]</f>
        <v>125</v>
      </c>
      <c r="Q127" s="14">
        <v>20</v>
      </c>
      <c r="R127" s="14" t="s">
        <v>208</v>
      </c>
      <c r="S127" t="s">
        <v>223</v>
      </c>
      <c r="T127" s="14"/>
      <c r="U127" s="14"/>
      <c r="V127" s="14"/>
      <c r="W127" s="14">
        <v>-10000000</v>
      </c>
      <c r="X127" s="14">
        <v>10000000</v>
      </c>
    </row>
    <row r="128" spans="1:24" x14ac:dyDescent="0.25">
      <c r="A128">
        <v>126</v>
      </c>
      <c r="B128">
        <v>9</v>
      </c>
      <c r="C128" t="s">
        <v>197</v>
      </c>
      <c r="D128" t="s">
        <v>653</v>
      </c>
      <c r="F128" s="14"/>
      <c r="G128" t="s">
        <v>1052</v>
      </c>
      <c r="H128" s="23">
        <v>13</v>
      </c>
      <c r="I128" s="14" t="str">
        <f>TEXT(Tabelle2[[#This Row],[category]],"00")&amp;TEXT(Tabelle2[[#This Row],[internal_order]],"00")</f>
        <v>0913</v>
      </c>
      <c r="J128" s="15">
        <v>2</v>
      </c>
      <c r="K128" s="15">
        <f>Tabelle2[[#This Row],[propertyID]]</f>
        <v>126</v>
      </c>
      <c r="L128" s="15">
        <v>1.4999999999999999E-2</v>
      </c>
      <c r="M128" s="15" t="s">
        <v>198</v>
      </c>
      <c r="O128" s="14">
        <v>1</v>
      </c>
      <c r="P128" s="14">
        <f>Tabelle2[[#This Row],[propertyID]]</f>
        <v>126</v>
      </c>
      <c r="Q128" s="14">
        <v>1.4999999999999999E-2</v>
      </c>
      <c r="R128" s="14" t="s">
        <v>198</v>
      </c>
      <c r="S128" t="s">
        <v>223</v>
      </c>
      <c r="T128" s="14"/>
      <c r="U128" s="14"/>
      <c r="V128" s="14"/>
      <c r="W128" s="14">
        <v>-10000000</v>
      </c>
      <c r="X128" s="14">
        <v>10000000</v>
      </c>
    </row>
    <row r="129" spans="1:24" x14ac:dyDescent="0.25">
      <c r="A129">
        <v>127</v>
      </c>
      <c r="B129">
        <v>9</v>
      </c>
      <c r="C129" t="s">
        <v>205</v>
      </c>
      <c r="D129" t="s">
        <v>657</v>
      </c>
      <c r="F129" s="14"/>
      <c r="G129" t="s">
        <v>1052</v>
      </c>
      <c r="H129" s="23">
        <v>14</v>
      </c>
      <c r="I129" s="14" t="str">
        <f>TEXT(Tabelle2[[#This Row],[category]],"00")&amp;TEXT(Tabelle2[[#This Row],[internal_order]],"00")</f>
        <v>0914</v>
      </c>
      <c r="J129" s="15">
        <v>2</v>
      </c>
      <c r="K129" s="15">
        <f>Tabelle2[[#This Row],[propertyID]]</f>
        <v>127</v>
      </c>
      <c r="L129" s="15">
        <v>1000</v>
      </c>
      <c r="M129" s="15" t="s">
        <v>206</v>
      </c>
      <c r="O129" s="14">
        <v>1</v>
      </c>
      <c r="P129" s="14">
        <f>Tabelle2[[#This Row],[propertyID]]</f>
        <v>127</v>
      </c>
      <c r="Q129" s="14">
        <v>1000</v>
      </c>
      <c r="R129" s="14" t="s">
        <v>206</v>
      </c>
      <c r="S129" t="s">
        <v>223</v>
      </c>
      <c r="T129" s="14"/>
      <c r="U129" s="14"/>
      <c r="V129" s="14"/>
      <c r="W129" s="14">
        <v>-10000000</v>
      </c>
      <c r="X129" s="14">
        <v>10000000</v>
      </c>
    </row>
    <row r="130" spans="1:24" x14ac:dyDescent="0.25">
      <c r="A130">
        <v>128</v>
      </c>
      <c r="B130">
        <v>9</v>
      </c>
      <c r="C130" t="s">
        <v>209</v>
      </c>
      <c r="D130" t="s">
        <v>659</v>
      </c>
      <c r="F130" s="14"/>
      <c r="G130" t="s">
        <v>1052</v>
      </c>
      <c r="H130" s="23">
        <v>15</v>
      </c>
      <c r="I130" s="14" t="str">
        <f>TEXT(Tabelle2[[#This Row],[category]],"00")&amp;TEXT(Tabelle2[[#This Row],[internal_order]],"00")</f>
        <v>0915</v>
      </c>
      <c r="J130" s="15">
        <v>2</v>
      </c>
      <c r="K130" s="15">
        <f>Tabelle2[[#This Row],[propertyID]]</f>
        <v>128</v>
      </c>
      <c r="L130" s="15">
        <v>1.8800000000000001E-2</v>
      </c>
      <c r="M130" s="15" t="s">
        <v>210</v>
      </c>
      <c r="O130" s="14">
        <v>1</v>
      </c>
      <c r="P130" s="14">
        <f>Tabelle2[[#This Row],[propertyID]]</f>
        <v>128</v>
      </c>
      <c r="Q130" s="14">
        <v>1.8800000000000001E-2</v>
      </c>
      <c r="R130" s="14" t="s">
        <v>210</v>
      </c>
      <c r="S130" t="s">
        <v>223</v>
      </c>
      <c r="T130" s="14"/>
      <c r="U130" s="14"/>
      <c r="V130" s="14"/>
      <c r="W130" s="14">
        <v>-10000000</v>
      </c>
      <c r="X130" s="14">
        <v>10000000</v>
      </c>
    </row>
    <row r="131" spans="1:24" x14ac:dyDescent="0.25">
      <c r="A131">
        <v>129</v>
      </c>
      <c r="B131">
        <v>9</v>
      </c>
      <c r="C131" t="s">
        <v>213</v>
      </c>
      <c r="D131" t="s">
        <v>661</v>
      </c>
      <c r="F131" s="14"/>
      <c r="G131" t="s">
        <v>1052</v>
      </c>
      <c r="H131" s="23">
        <v>16</v>
      </c>
      <c r="I131" s="14" t="str">
        <f>TEXT(Tabelle2[[#This Row],[category]],"00")&amp;TEXT(Tabelle2[[#This Row],[internal_order]],"00")</f>
        <v>0916</v>
      </c>
      <c r="J131" s="15">
        <v>2</v>
      </c>
      <c r="K131" s="15">
        <f>Tabelle2[[#This Row],[propertyID]]</f>
        <v>129</v>
      </c>
      <c r="L131" s="15">
        <v>0.4</v>
      </c>
      <c r="M131" s="15" t="s">
        <v>214</v>
      </c>
      <c r="O131" s="14">
        <v>1</v>
      </c>
      <c r="P131" s="14">
        <f>Tabelle2[[#This Row],[propertyID]]</f>
        <v>129</v>
      </c>
      <c r="Q131" s="14">
        <v>0.4</v>
      </c>
      <c r="R131" s="14" t="s">
        <v>214</v>
      </c>
      <c r="S131" t="s">
        <v>223</v>
      </c>
      <c r="T131" s="14"/>
      <c r="U131" s="14"/>
      <c r="V131" s="14"/>
      <c r="W131" s="14">
        <v>-10000000</v>
      </c>
      <c r="X131" s="14">
        <v>10000000</v>
      </c>
    </row>
    <row r="132" spans="1:24" x14ac:dyDescent="0.25">
      <c r="A132">
        <v>130</v>
      </c>
      <c r="B132">
        <v>9</v>
      </c>
      <c r="C132" t="s">
        <v>211</v>
      </c>
      <c r="D132" t="s">
        <v>660</v>
      </c>
      <c r="F132" s="14"/>
      <c r="G132" t="s">
        <v>1052</v>
      </c>
      <c r="H132" s="23">
        <v>17</v>
      </c>
      <c r="I132" s="14" t="str">
        <f>TEXT(Tabelle2[[#This Row],[category]],"00")&amp;TEXT(Tabelle2[[#This Row],[internal_order]],"00")</f>
        <v>0917</v>
      </c>
      <c r="J132" s="15">
        <v>2</v>
      </c>
      <c r="K132" s="15">
        <f>Tabelle2[[#This Row],[propertyID]]</f>
        <v>130</v>
      </c>
      <c r="L132" s="15">
        <v>3.0000000000000001E-3</v>
      </c>
      <c r="M132" s="15" t="s">
        <v>212</v>
      </c>
      <c r="O132" s="14">
        <v>1</v>
      </c>
      <c r="P132" s="14">
        <f>Tabelle2[[#This Row],[propertyID]]</f>
        <v>130</v>
      </c>
      <c r="Q132" s="14">
        <v>3.0000000000000001E-3</v>
      </c>
      <c r="R132" s="14" t="s">
        <v>212</v>
      </c>
      <c r="S132" t="s">
        <v>223</v>
      </c>
      <c r="T132" s="14"/>
      <c r="U132" s="14"/>
      <c r="V132" s="14"/>
      <c r="W132" s="14">
        <v>-10000000</v>
      </c>
      <c r="X132" s="14">
        <v>10000000</v>
      </c>
    </row>
    <row r="133" spans="1:24" x14ac:dyDescent="0.25">
      <c r="A133">
        <v>131</v>
      </c>
      <c r="B133">
        <v>9</v>
      </c>
      <c r="C133" t="s">
        <v>215</v>
      </c>
      <c r="D133" t="s">
        <v>662</v>
      </c>
      <c r="F133" s="14"/>
      <c r="G133" t="s">
        <v>1052</v>
      </c>
      <c r="H133" s="23">
        <v>18</v>
      </c>
      <c r="I133" s="14" t="str">
        <f>TEXT(Tabelle2[[#This Row],[category]],"00")&amp;TEXT(Tabelle2[[#This Row],[internal_order]],"00")</f>
        <v>0918</v>
      </c>
      <c r="J133" s="15">
        <v>2</v>
      </c>
      <c r="K133" s="15">
        <f>Tabelle2[[#This Row],[propertyID]]</f>
        <v>131</v>
      </c>
      <c r="L133" s="15">
        <v>5.0000000000000001E-4</v>
      </c>
      <c r="M133" s="15" t="s">
        <v>216</v>
      </c>
      <c r="O133" s="14">
        <v>1</v>
      </c>
      <c r="P133" s="14">
        <f>Tabelle2[[#This Row],[propertyID]]</f>
        <v>131</v>
      </c>
      <c r="Q133" s="14">
        <v>5.0000000000000001E-4</v>
      </c>
      <c r="R133" s="14" t="s">
        <v>216</v>
      </c>
      <c r="S133" t="s">
        <v>223</v>
      </c>
      <c r="T133" s="14"/>
      <c r="U133" s="14"/>
      <c r="V133" s="14"/>
      <c r="W133" s="14">
        <v>-10000000</v>
      </c>
      <c r="X133" s="14">
        <v>10000000</v>
      </c>
    </row>
    <row r="134" spans="1:24" x14ac:dyDescent="0.25">
      <c r="A134">
        <v>132</v>
      </c>
      <c r="B134">
        <v>9</v>
      </c>
      <c r="C134" t="s">
        <v>1392</v>
      </c>
      <c r="D134" t="s">
        <v>655</v>
      </c>
      <c r="F134" s="14"/>
      <c r="G134" t="s">
        <v>1052</v>
      </c>
      <c r="H134" s="23">
        <v>19</v>
      </c>
      <c r="I134" s="14" t="str">
        <f>TEXT(Tabelle2[[#This Row],[category]],"00")&amp;TEXT(Tabelle2[[#This Row],[internal_order]],"00")</f>
        <v>0919</v>
      </c>
      <c r="J134" s="15">
        <v>2</v>
      </c>
      <c r="K134" s="15">
        <f>Tabelle2[[#This Row],[propertyID]]</f>
        <v>132</v>
      </c>
      <c r="L134" s="15">
        <v>-2</v>
      </c>
      <c r="M134" s="15" t="s">
        <v>202</v>
      </c>
      <c r="O134" s="14">
        <v>1</v>
      </c>
      <c r="P134" s="14">
        <f>Tabelle2[[#This Row],[propertyID]]</f>
        <v>132</v>
      </c>
      <c r="Q134" s="14">
        <v>-2</v>
      </c>
      <c r="R134" s="14" t="s">
        <v>202</v>
      </c>
      <c r="S134" t="s">
        <v>223</v>
      </c>
      <c r="T134" s="14"/>
      <c r="U134" s="14"/>
      <c r="V134" s="14"/>
      <c r="W134" s="14">
        <v>-10000000</v>
      </c>
      <c r="X134" s="14">
        <v>10000000</v>
      </c>
    </row>
    <row r="135" spans="1:24" x14ac:dyDescent="0.25">
      <c r="A135">
        <v>133</v>
      </c>
      <c r="B135">
        <v>9</v>
      </c>
      <c r="C135" t="s">
        <v>1393</v>
      </c>
      <c r="D135" t="s">
        <v>654</v>
      </c>
      <c r="F135" s="14"/>
      <c r="G135" t="s">
        <v>1052</v>
      </c>
      <c r="H135" s="23">
        <v>20</v>
      </c>
      <c r="I135" s="14" t="str">
        <f>TEXT(Tabelle2[[#This Row],[category]],"00")&amp;TEXT(Tabelle2[[#This Row],[internal_order]],"00")</f>
        <v>0920</v>
      </c>
      <c r="J135" s="15">
        <v>2</v>
      </c>
      <c r="K135" s="15">
        <f>Tabelle2[[#This Row],[propertyID]]</f>
        <v>133</v>
      </c>
      <c r="L135" s="15">
        <v>-15</v>
      </c>
      <c r="M135" s="15" t="s">
        <v>200</v>
      </c>
      <c r="O135" s="14">
        <v>1</v>
      </c>
      <c r="P135" s="14">
        <f>Tabelle2[[#This Row],[propertyID]]</f>
        <v>133</v>
      </c>
      <c r="Q135" s="14">
        <v>-15</v>
      </c>
      <c r="R135" s="14" t="s">
        <v>200</v>
      </c>
      <c r="S135" t="s">
        <v>223</v>
      </c>
      <c r="T135" s="14"/>
      <c r="U135" s="14"/>
      <c r="V135" s="14"/>
      <c r="W135" s="14">
        <v>-10000000</v>
      </c>
      <c r="X135" s="14">
        <v>10000000</v>
      </c>
    </row>
    <row r="136" spans="1:24" x14ac:dyDescent="0.25">
      <c r="A136">
        <v>134</v>
      </c>
      <c r="B136">
        <v>9</v>
      </c>
      <c r="C136" t="s">
        <v>1394</v>
      </c>
      <c r="D136" t="s">
        <v>656</v>
      </c>
      <c r="F136" s="14"/>
      <c r="G136" t="s">
        <v>1052</v>
      </c>
      <c r="H136" s="23">
        <v>21</v>
      </c>
      <c r="I136" s="14" t="str">
        <f>TEXT(Tabelle2[[#This Row],[category]],"00")&amp;TEXT(Tabelle2[[#This Row],[internal_order]],"00")</f>
        <v>0921</v>
      </c>
      <c r="J136" s="15">
        <v>2</v>
      </c>
      <c r="K136" s="15">
        <f>Tabelle2[[#This Row],[propertyID]]</f>
        <v>134</v>
      </c>
      <c r="L136" s="15">
        <v>-8.9999999999999993E-3</v>
      </c>
      <c r="M136" s="15" t="s">
        <v>204</v>
      </c>
      <c r="O136" s="14">
        <v>1</v>
      </c>
      <c r="P136" s="14">
        <f>Tabelle2[[#This Row],[propertyID]]</f>
        <v>134</v>
      </c>
      <c r="Q136" s="14">
        <v>-8.9999999999999993E-3</v>
      </c>
      <c r="R136" s="14" t="s">
        <v>204</v>
      </c>
      <c r="S136" t="s">
        <v>223</v>
      </c>
      <c r="T136" s="14"/>
      <c r="U136" s="14"/>
      <c r="V136" s="14"/>
      <c r="W136" s="14">
        <v>-10000000</v>
      </c>
      <c r="X136" s="14">
        <v>10000000</v>
      </c>
    </row>
    <row r="137" spans="1:24" x14ac:dyDescent="0.25">
      <c r="A137">
        <v>135</v>
      </c>
      <c r="B137">
        <v>9</v>
      </c>
      <c r="C137" t="s">
        <v>1402</v>
      </c>
      <c r="D137" t="s">
        <v>1408</v>
      </c>
      <c r="E137" t="s">
        <v>889</v>
      </c>
      <c r="F137" s="14" t="s">
        <v>889</v>
      </c>
      <c r="G137" t="s">
        <v>1052</v>
      </c>
      <c r="H137" s="23">
        <v>22</v>
      </c>
      <c r="I137" s="14" t="str">
        <f>TEXT(Tabelle2[[#This Row],[category]],"00")&amp;TEXT(Tabelle2[[#This Row],[internal_order]],"00")</f>
        <v>0922</v>
      </c>
      <c r="J137" s="15">
        <v>2</v>
      </c>
      <c r="K137" s="15">
        <f>Tabelle2[[#This Row],[propertyID]]</f>
        <v>135</v>
      </c>
      <c r="L137" s="15">
        <v>25</v>
      </c>
      <c r="M137" s="15"/>
      <c r="O137" s="14">
        <v>1</v>
      </c>
      <c r="P137" s="14">
        <f>Tabelle2[[#This Row],[propertyID]]</f>
        <v>135</v>
      </c>
      <c r="Q137" s="14">
        <v>25</v>
      </c>
      <c r="R137" s="14"/>
      <c r="T137" s="14"/>
      <c r="U137" s="14"/>
      <c r="V137" s="14"/>
      <c r="W137" s="14">
        <v>0</v>
      </c>
      <c r="X137" s="14"/>
    </row>
    <row r="138" spans="1:24" x14ac:dyDescent="0.25">
      <c r="A138">
        <v>136</v>
      </c>
      <c r="B138">
        <v>9</v>
      </c>
      <c r="C138" t="s">
        <v>219</v>
      </c>
      <c r="D138" t="s">
        <v>664</v>
      </c>
      <c r="F138" s="14"/>
      <c r="G138" t="s">
        <v>1052</v>
      </c>
      <c r="H138" s="23">
        <v>23</v>
      </c>
      <c r="I138" s="14" t="str">
        <f>TEXT(Tabelle2[[#This Row],[category]],"00")&amp;TEXT(Tabelle2[[#This Row],[internal_order]],"00")</f>
        <v>0923</v>
      </c>
      <c r="J138" s="15">
        <v>2</v>
      </c>
      <c r="K138" s="15">
        <f>Tabelle2[[#This Row],[propertyID]]</f>
        <v>136</v>
      </c>
      <c r="L138" s="15">
        <v>10</v>
      </c>
      <c r="M138" s="15" t="s">
        <v>220</v>
      </c>
      <c r="O138" s="14">
        <v>1</v>
      </c>
      <c r="P138" s="14">
        <f>Tabelle2[[#This Row],[propertyID]]</f>
        <v>136</v>
      </c>
      <c r="Q138" s="14">
        <v>10</v>
      </c>
      <c r="R138" s="14" t="s">
        <v>220</v>
      </c>
      <c r="S138" t="s">
        <v>223</v>
      </c>
      <c r="T138" s="14"/>
      <c r="U138" s="14"/>
      <c r="V138" s="14"/>
      <c r="W138" s="14">
        <v>-10000000</v>
      </c>
      <c r="X138" s="14">
        <v>10000000</v>
      </c>
    </row>
    <row r="139" spans="1:24" x14ac:dyDescent="0.25">
      <c r="A139">
        <v>137</v>
      </c>
      <c r="B139">
        <v>9</v>
      </c>
      <c r="C139" t="s">
        <v>217</v>
      </c>
      <c r="D139" t="s">
        <v>663</v>
      </c>
      <c r="F139" s="14"/>
      <c r="G139" t="s">
        <v>1052</v>
      </c>
      <c r="H139" s="23">
        <v>24</v>
      </c>
      <c r="I139" s="14" t="str">
        <f>TEXT(Tabelle2[[#This Row],[category]],"00")&amp;TEXT(Tabelle2[[#This Row],[internal_order]],"00")</f>
        <v>0924</v>
      </c>
      <c r="J139" s="15">
        <v>2</v>
      </c>
      <c r="K139" s="15">
        <f>Tabelle2[[#This Row],[propertyID]]</f>
        <v>137</v>
      </c>
      <c r="L139" s="15">
        <v>0.3</v>
      </c>
      <c r="M139" s="15" t="s">
        <v>218</v>
      </c>
      <c r="O139" s="14">
        <v>1</v>
      </c>
      <c r="P139" s="14">
        <f>Tabelle2[[#This Row],[propertyID]]</f>
        <v>137</v>
      </c>
      <c r="Q139" s="14">
        <v>0.3</v>
      </c>
      <c r="R139" s="14" t="s">
        <v>218</v>
      </c>
      <c r="S139" t="s">
        <v>223</v>
      </c>
      <c r="T139" s="14"/>
      <c r="U139" s="14"/>
      <c r="V139" s="14"/>
      <c r="W139" s="14">
        <v>-10000000</v>
      </c>
      <c r="X139" s="14">
        <v>10000000</v>
      </c>
    </row>
    <row r="140" spans="1:24" x14ac:dyDescent="0.25">
      <c r="A140">
        <v>138</v>
      </c>
      <c r="B140">
        <v>9</v>
      </c>
      <c r="C140" t="s">
        <v>221</v>
      </c>
      <c r="D140" t="s">
        <v>665</v>
      </c>
      <c r="F140" s="14"/>
      <c r="G140" t="s">
        <v>1052</v>
      </c>
      <c r="H140" s="23">
        <v>25</v>
      </c>
      <c r="I140" s="14" t="str">
        <f>TEXT(Tabelle2[[#This Row],[category]],"00")&amp;TEXT(Tabelle2[[#This Row],[internal_order]],"00")</f>
        <v>0925</v>
      </c>
      <c r="J140" s="15">
        <v>2</v>
      </c>
      <c r="K140" s="15">
        <f>Tabelle2[[#This Row],[propertyID]]</f>
        <v>138</v>
      </c>
      <c r="L140" s="15">
        <v>1</v>
      </c>
      <c r="M140" s="15" t="s">
        <v>222</v>
      </c>
      <c r="O140" s="14">
        <v>1</v>
      </c>
      <c r="P140" s="14">
        <f>Tabelle2[[#This Row],[propertyID]]</f>
        <v>138</v>
      </c>
      <c r="Q140" s="14">
        <v>1</v>
      </c>
      <c r="R140" s="14" t="s">
        <v>222</v>
      </c>
      <c r="S140" t="s">
        <v>223</v>
      </c>
      <c r="T140" s="14"/>
      <c r="U140" s="14"/>
      <c r="V140" s="14"/>
      <c r="W140" s="14">
        <v>-10000000</v>
      </c>
      <c r="X140" s="14">
        <v>10000000</v>
      </c>
    </row>
    <row r="141" spans="1:24" x14ac:dyDescent="0.25">
      <c r="A141">
        <v>139</v>
      </c>
      <c r="B141">
        <v>9</v>
      </c>
      <c r="C141" t="s">
        <v>1341</v>
      </c>
      <c r="D141" t="s">
        <v>1352</v>
      </c>
      <c r="F141" s="14"/>
      <c r="G141" t="s">
        <v>1052</v>
      </c>
      <c r="H141" s="23">
        <v>26</v>
      </c>
      <c r="I141" s="14" t="str">
        <f>TEXT(Tabelle2[[#This Row],[category]],"00")&amp;TEXT(Tabelle2[[#This Row],[internal_order]],"00")</f>
        <v>0926</v>
      </c>
      <c r="J141" s="15">
        <v>2</v>
      </c>
      <c r="K141" s="15">
        <f>Tabelle2[[#This Row],[propertyID]]</f>
        <v>139</v>
      </c>
      <c r="L141" s="15">
        <v>15</v>
      </c>
      <c r="M141" s="15" t="s">
        <v>1359</v>
      </c>
      <c r="O141" s="14">
        <v>1</v>
      </c>
      <c r="P141" s="14">
        <f>Tabelle2[[#This Row],[propertyID]]</f>
        <v>139</v>
      </c>
      <c r="Q141" s="14">
        <v>15</v>
      </c>
      <c r="R141" s="14" t="s">
        <v>1359</v>
      </c>
      <c r="T141" s="14"/>
      <c r="U141" s="14"/>
      <c r="V141" s="14"/>
      <c r="W141" s="14">
        <v>-10000000</v>
      </c>
      <c r="X141" s="14">
        <v>10000000</v>
      </c>
    </row>
    <row r="142" spans="1:24" x14ac:dyDescent="0.25">
      <c r="A142">
        <v>140</v>
      </c>
      <c r="B142">
        <v>9</v>
      </c>
      <c r="C142" t="s">
        <v>1343</v>
      </c>
      <c r="D142" t="s">
        <v>1351</v>
      </c>
      <c r="F142" s="14"/>
      <c r="G142" t="s">
        <v>1052</v>
      </c>
      <c r="H142" s="23">
        <v>27</v>
      </c>
      <c r="I142" s="14" t="str">
        <f>TEXT(Tabelle2[[#This Row],[category]],"00")&amp;TEXT(Tabelle2[[#This Row],[internal_order]],"00")</f>
        <v>0927</v>
      </c>
      <c r="J142" s="15">
        <v>2</v>
      </c>
      <c r="K142" s="15">
        <f>Tabelle2[[#This Row],[propertyID]]</f>
        <v>140</v>
      </c>
      <c r="L142" s="15">
        <v>500</v>
      </c>
      <c r="M142" s="15" t="s">
        <v>1360</v>
      </c>
      <c r="O142" s="14">
        <v>1</v>
      </c>
      <c r="P142" s="14">
        <f>Tabelle2[[#This Row],[propertyID]]</f>
        <v>140</v>
      </c>
      <c r="Q142" s="14">
        <v>500</v>
      </c>
      <c r="R142" s="14" t="s">
        <v>1360</v>
      </c>
      <c r="T142" s="14"/>
      <c r="U142" s="14"/>
      <c r="V142" s="14"/>
      <c r="W142" s="14">
        <v>-10000000</v>
      </c>
      <c r="X142" s="14">
        <v>10000000</v>
      </c>
    </row>
    <row r="143" spans="1:24" x14ac:dyDescent="0.25">
      <c r="A143">
        <v>141</v>
      </c>
      <c r="B143">
        <v>9</v>
      </c>
      <c r="C143" t="s">
        <v>1344</v>
      </c>
      <c r="D143" t="s">
        <v>1342</v>
      </c>
      <c r="F143" s="14"/>
      <c r="G143" t="s">
        <v>1052</v>
      </c>
      <c r="H143" s="23">
        <v>28</v>
      </c>
      <c r="I143" s="14" t="str">
        <f>TEXT(Tabelle2[[#This Row],[category]],"00")&amp;TEXT(Tabelle2[[#This Row],[internal_order]],"00")</f>
        <v>0928</v>
      </c>
      <c r="J143" s="15">
        <v>2</v>
      </c>
      <c r="K143" s="15">
        <f>Tabelle2[[#This Row],[propertyID]]</f>
        <v>141</v>
      </c>
      <c r="L143" s="15">
        <v>0.02</v>
      </c>
      <c r="M143" s="15" t="s">
        <v>1361</v>
      </c>
      <c r="O143" s="14">
        <v>1</v>
      </c>
      <c r="P143" s="14">
        <f>Tabelle2[[#This Row],[propertyID]]</f>
        <v>141</v>
      </c>
      <c r="Q143" s="14">
        <v>0.02</v>
      </c>
      <c r="R143" s="14" t="s">
        <v>1361</v>
      </c>
      <c r="T143" s="14"/>
      <c r="U143" s="14"/>
      <c r="V143" s="14"/>
      <c r="W143" s="14">
        <v>-10000000</v>
      </c>
      <c r="X143" s="14">
        <v>10000000</v>
      </c>
    </row>
    <row r="144" spans="1:24" x14ac:dyDescent="0.25">
      <c r="A144">
        <v>142</v>
      </c>
      <c r="B144">
        <v>9</v>
      </c>
      <c r="C144" t="s">
        <v>1345</v>
      </c>
      <c r="D144" t="s">
        <v>1353</v>
      </c>
      <c r="F144" s="14"/>
      <c r="G144" t="s">
        <v>1052</v>
      </c>
      <c r="H144" s="23">
        <v>29</v>
      </c>
      <c r="I144" s="14" t="str">
        <f>TEXT(Tabelle2[[#This Row],[category]],"00")&amp;TEXT(Tabelle2[[#This Row],[internal_order]],"00")</f>
        <v>0929</v>
      </c>
      <c r="J144" s="15">
        <v>2</v>
      </c>
      <c r="K144" s="15">
        <f>Tabelle2[[#This Row],[propertyID]]</f>
        <v>142</v>
      </c>
      <c r="L144" s="15">
        <v>-2</v>
      </c>
      <c r="M144" s="15" t="s">
        <v>1362</v>
      </c>
      <c r="O144" s="14"/>
      <c r="P144" s="14">
        <f>Tabelle2[[#This Row],[propertyID]]</f>
        <v>142</v>
      </c>
      <c r="Q144" s="14"/>
      <c r="R144" s="14"/>
      <c r="T144" s="14"/>
      <c r="U144" s="14"/>
      <c r="V144" s="14"/>
      <c r="W144" s="14">
        <v>-10000000</v>
      </c>
      <c r="X144" s="14">
        <v>10000000</v>
      </c>
    </row>
    <row r="145" spans="1:24" x14ac:dyDescent="0.25">
      <c r="A145">
        <v>143</v>
      </c>
      <c r="B145">
        <v>9</v>
      </c>
      <c r="C145" t="s">
        <v>1346</v>
      </c>
      <c r="D145" t="s">
        <v>1354</v>
      </c>
      <c r="F145" s="14"/>
      <c r="G145" t="s">
        <v>1052</v>
      </c>
      <c r="H145" s="23">
        <v>30</v>
      </c>
      <c r="I145" s="14" t="str">
        <f>TEXT(Tabelle2[[#This Row],[category]],"00")&amp;TEXT(Tabelle2[[#This Row],[internal_order]],"00")</f>
        <v>0930</v>
      </c>
      <c r="J145" s="15">
        <v>2</v>
      </c>
      <c r="K145" s="15">
        <f>Tabelle2[[#This Row],[propertyID]]</f>
        <v>143</v>
      </c>
      <c r="L145" s="15">
        <v>-15</v>
      </c>
      <c r="M145" s="15" t="s">
        <v>1363</v>
      </c>
      <c r="O145" s="14"/>
      <c r="P145" s="14">
        <f>Tabelle2[[#This Row],[propertyID]]</f>
        <v>143</v>
      </c>
      <c r="Q145" s="14"/>
      <c r="R145" s="14"/>
      <c r="T145" s="14"/>
      <c r="U145" s="14"/>
      <c r="V145" s="14"/>
      <c r="W145" s="14">
        <v>-10000000</v>
      </c>
      <c r="X145" s="14">
        <v>10000000</v>
      </c>
    </row>
    <row r="146" spans="1:24" x14ac:dyDescent="0.25">
      <c r="A146">
        <v>144</v>
      </c>
      <c r="B146">
        <v>9</v>
      </c>
      <c r="C146" t="s">
        <v>1347</v>
      </c>
      <c r="D146" t="s">
        <v>1355</v>
      </c>
      <c r="F146" s="14"/>
      <c r="G146" t="s">
        <v>1052</v>
      </c>
      <c r="H146" s="23">
        <v>31</v>
      </c>
      <c r="I146" s="14" t="str">
        <f>TEXT(Tabelle2[[#This Row],[category]],"00")&amp;TEXT(Tabelle2[[#This Row],[internal_order]],"00")</f>
        <v>0931</v>
      </c>
      <c r="J146" s="15">
        <v>2</v>
      </c>
      <c r="K146" s="15">
        <f>Tabelle2[[#This Row],[propertyID]]</f>
        <v>144</v>
      </c>
      <c r="L146" s="15">
        <v>-8.9999999999999993E-3</v>
      </c>
      <c r="M146" s="15" t="s">
        <v>1364</v>
      </c>
      <c r="O146" s="14"/>
      <c r="P146" s="14">
        <f>Tabelle2[[#This Row],[propertyID]]</f>
        <v>144</v>
      </c>
      <c r="Q146" s="14"/>
      <c r="R146" s="14"/>
      <c r="T146" s="14"/>
      <c r="U146" s="14"/>
      <c r="V146" s="14"/>
      <c r="W146" s="14">
        <v>-10000000</v>
      </c>
      <c r="X146" s="14">
        <v>10000000</v>
      </c>
    </row>
    <row r="147" spans="1:24" x14ac:dyDescent="0.25">
      <c r="A147">
        <v>145</v>
      </c>
      <c r="B147">
        <v>9</v>
      </c>
      <c r="C147" t="s">
        <v>1348</v>
      </c>
      <c r="D147" t="s">
        <v>1356</v>
      </c>
      <c r="F147" s="14"/>
      <c r="G147" t="s">
        <v>1052</v>
      </c>
      <c r="H147" s="23">
        <v>32</v>
      </c>
      <c r="I147" s="14" t="str">
        <f>TEXT(Tabelle2[[#This Row],[category]],"00")&amp;TEXT(Tabelle2[[#This Row],[internal_order]],"00")</f>
        <v>0932</v>
      </c>
      <c r="J147" s="15"/>
      <c r="K147" s="15">
        <f>Tabelle2[[#This Row],[propertyID]]</f>
        <v>145</v>
      </c>
      <c r="L147" s="15"/>
      <c r="M147" s="15"/>
      <c r="O147" s="14"/>
      <c r="P147" s="14">
        <f>Tabelle2[[#This Row],[propertyID]]</f>
        <v>145</v>
      </c>
      <c r="Q147" s="14"/>
      <c r="R147" s="14"/>
      <c r="T147" s="14"/>
      <c r="U147" s="14"/>
      <c r="V147" s="14"/>
      <c r="W147" s="14">
        <v>-10000000</v>
      </c>
      <c r="X147" s="14">
        <v>10000000</v>
      </c>
    </row>
    <row r="148" spans="1:24" x14ac:dyDescent="0.25">
      <c r="A148">
        <v>146</v>
      </c>
      <c r="B148">
        <v>9</v>
      </c>
      <c r="C148" t="s">
        <v>1349</v>
      </c>
      <c r="D148" t="s">
        <v>1357</v>
      </c>
      <c r="F148" s="14"/>
      <c r="G148" t="s">
        <v>1052</v>
      </c>
      <c r="H148" s="23">
        <v>33</v>
      </c>
      <c r="I148" s="14" t="str">
        <f>TEXT(Tabelle2[[#This Row],[category]],"00")&amp;TEXT(Tabelle2[[#This Row],[internal_order]],"00")</f>
        <v>0933</v>
      </c>
      <c r="J148" s="15"/>
      <c r="K148" s="15">
        <f>Tabelle2[[#This Row],[propertyID]]</f>
        <v>146</v>
      </c>
      <c r="L148" s="15"/>
      <c r="M148" s="15"/>
      <c r="O148" s="14"/>
      <c r="P148" s="14">
        <f>Tabelle2[[#This Row],[propertyID]]</f>
        <v>146</v>
      </c>
      <c r="Q148" s="14"/>
      <c r="R148" s="14"/>
      <c r="T148" s="14"/>
      <c r="U148" s="14"/>
      <c r="V148" s="14"/>
      <c r="W148" s="14">
        <v>-10000000</v>
      </c>
      <c r="X148" s="14">
        <v>10000000</v>
      </c>
    </row>
    <row r="149" spans="1:24" x14ac:dyDescent="0.25">
      <c r="A149">
        <v>147</v>
      </c>
      <c r="B149">
        <v>9</v>
      </c>
      <c r="C149" t="s">
        <v>1350</v>
      </c>
      <c r="D149" t="s">
        <v>1358</v>
      </c>
      <c r="F149" s="14"/>
      <c r="G149" t="s">
        <v>1052</v>
      </c>
      <c r="H149" s="23">
        <v>34</v>
      </c>
      <c r="I149" s="14" t="str">
        <f>TEXT(Tabelle2[[#This Row],[category]],"00")&amp;TEXT(Tabelle2[[#This Row],[internal_order]],"00")</f>
        <v>0934</v>
      </c>
      <c r="J149" s="15"/>
      <c r="K149" s="15">
        <f>Tabelle2[[#This Row],[propertyID]]</f>
        <v>147</v>
      </c>
      <c r="L149" s="15"/>
      <c r="M149" s="15"/>
      <c r="O149" s="14"/>
      <c r="P149" s="14">
        <f>Tabelle2[[#This Row],[propertyID]]</f>
        <v>147</v>
      </c>
      <c r="Q149" s="14"/>
      <c r="R149" s="14"/>
      <c r="T149" s="14"/>
      <c r="U149" s="14"/>
      <c r="V149" s="14"/>
      <c r="W149" s="14">
        <v>-10000000</v>
      </c>
      <c r="X149" s="14">
        <v>10000000</v>
      </c>
    </row>
    <row r="150" spans="1:24" x14ac:dyDescent="0.25">
      <c r="A150">
        <v>148</v>
      </c>
      <c r="B150">
        <v>9</v>
      </c>
      <c r="C150" t="s">
        <v>1403</v>
      </c>
      <c r="D150" t="s">
        <v>1410</v>
      </c>
      <c r="E150" t="s">
        <v>889</v>
      </c>
      <c r="F150" s="14" t="s">
        <v>889</v>
      </c>
      <c r="G150" t="s">
        <v>1052</v>
      </c>
      <c r="H150" s="23">
        <v>35</v>
      </c>
      <c r="I150" s="14" t="str">
        <f>TEXT(Tabelle2[[#This Row],[category]],"00")&amp;TEXT(Tabelle2[[#This Row],[internal_order]],"00")</f>
        <v>0935</v>
      </c>
      <c r="J150" s="15">
        <v>2</v>
      </c>
      <c r="K150" s="15">
        <f>Tabelle2[[#This Row],[propertyID]]</f>
        <v>148</v>
      </c>
      <c r="L150" s="15">
        <v>100</v>
      </c>
      <c r="M150" s="15"/>
      <c r="O150" s="14">
        <v>1</v>
      </c>
      <c r="P150" s="14">
        <f>Tabelle2[[#This Row],[propertyID]]</f>
        <v>148</v>
      </c>
      <c r="Q150" s="14">
        <v>100</v>
      </c>
      <c r="R150" s="14"/>
      <c r="T150" s="14"/>
      <c r="U150" s="14"/>
      <c r="V150" s="14"/>
      <c r="W150" s="14">
        <v>0</v>
      </c>
      <c r="X150" s="14"/>
    </row>
    <row r="151" spans="1:24" x14ac:dyDescent="0.25">
      <c r="A151">
        <v>149</v>
      </c>
      <c r="B151">
        <v>9</v>
      </c>
      <c r="C151" t="s">
        <v>1404</v>
      </c>
      <c r="D151" t="s">
        <v>1411</v>
      </c>
      <c r="E151" t="s">
        <v>889</v>
      </c>
      <c r="F151" s="14" t="s">
        <v>889</v>
      </c>
      <c r="G151" t="s">
        <v>1052</v>
      </c>
      <c r="H151" s="23">
        <v>36</v>
      </c>
      <c r="I151" s="14" t="str">
        <f>TEXT(Tabelle2[[#This Row],[category]],"00")&amp;TEXT(Tabelle2[[#This Row],[internal_order]],"00")</f>
        <v>0936</v>
      </c>
      <c r="J151" s="15">
        <v>2</v>
      </c>
      <c r="K151" s="15">
        <f>Tabelle2[[#This Row],[propertyID]]</f>
        <v>149</v>
      </c>
      <c r="L151" s="15">
        <v>600</v>
      </c>
      <c r="M151" s="15"/>
      <c r="O151" s="14"/>
      <c r="P151" s="14">
        <f>Tabelle2[[#This Row],[propertyID]]</f>
        <v>149</v>
      </c>
      <c r="Q151" s="14"/>
      <c r="R151" s="14"/>
      <c r="T151" s="14"/>
      <c r="U151" s="14"/>
      <c r="V151" s="14"/>
      <c r="W151" s="14">
        <v>0</v>
      </c>
      <c r="X151" s="14"/>
    </row>
    <row r="152" spans="1:24" x14ac:dyDescent="0.25">
      <c r="A152">
        <v>150</v>
      </c>
      <c r="B152">
        <v>9</v>
      </c>
      <c r="C152" t="s">
        <v>1405</v>
      </c>
      <c r="D152" t="s">
        <v>1412</v>
      </c>
      <c r="E152" t="s">
        <v>889</v>
      </c>
      <c r="F152" s="14" t="s">
        <v>889</v>
      </c>
      <c r="G152" t="s">
        <v>1052</v>
      </c>
      <c r="H152" s="23">
        <v>37</v>
      </c>
      <c r="I152" s="14" t="str">
        <f>TEXT(Tabelle2[[#This Row],[category]],"00")&amp;TEXT(Tabelle2[[#This Row],[internal_order]],"00")</f>
        <v>0937</v>
      </c>
      <c r="J152" s="15"/>
      <c r="K152" s="15">
        <f>Tabelle2[[#This Row],[propertyID]]</f>
        <v>150</v>
      </c>
      <c r="L152" s="15"/>
      <c r="M152" s="15"/>
      <c r="O152" s="14"/>
      <c r="P152" s="14">
        <f>Tabelle2[[#This Row],[propertyID]]</f>
        <v>150</v>
      </c>
      <c r="Q152" s="14"/>
      <c r="R152" s="14"/>
      <c r="T152" s="14"/>
      <c r="U152" s="14"/>
      <c r="V152" s="14"/>
      <c r="W152" s="14">
        <v>0</v>
      </c>
      <c r="X152" s="14"/>
    </row>
    <row r="153" spans="1:24" x14ac:dyDescent="0.25">
      <c r="A153">
        <v>151</v>
      </c>
      <c r="B153">
        <v>9</v>
      </c>
      <c r="C153" t="s">
        <v>178</v>
      </c>
      <c r="D153" t="s">
        <v>643</v>
      </c>
      <c r="F153" s="14"/>
      <c r="G153" t="s">
        <v>1052</v>
      </c>
      <c r="H153" s="23">
        <v>38</v>
      </c>
      <c r="I153" s="14" t="str">
        <f>TEXT(Tabelle2[[#This Row],[category]],"00")&amp;TEXT(Tabelle2[[#This Row],[internal_order]],"00")</f>
        <v>0938</v>
      </c>
      <c r="J153" s="15">
        <v>2</v>
      </c>
      <c r="K153" s="15">
        <f>Tabelle2[[#This Row],[propertyID]]</f>
        <v>151</v>
      </c>
      <c r="L153" s="15">
        <v>0</v>
      </c>
      <c r="M153" s="15" t="s">
        <v>179</v>
      </c>
      <c r="O153" s="14">
        <v>1</v>
      </c>
      <c r="P153" s="14">
        <f>Tabelle2[[#This Row],[propertyID]]</f>
        <v>151</v>
      </c>
      <c r="Q153" s="14">
        <v>0</v>
      </c>
      <c r="R153" s="14" t="s">
        <v>179</v>
      </c>
      <c r="S153" t="s">
        <v>223</v>
      </c>
      <c r="T153" s="14"/>
      <c r="U153" s="14"/>
      <c r="V153" s="14"/>
      <c r="W153" s="14">
        <v>0</v>
      </c>
      <c r="X153" s="14"/>
    </row>
    <row r="154" spans="1:24" x14ac:dyDescent="0.25">
      <c r="A154">
        <v>152</v>
      </c>
      <c r="B154">
        <v>10</v>
      </c>
      <c r="C154" t="s">
        <v>228</v>
      </c>
      <c r="D154" t="s">
        <v>799</v>
      </c>
      <c r="E154" t="s">
        <v>26</v>
      </c>
      <c r="F154" s="14" t="s">
        <v>26</v>
      </c>
      <c r="G154" t="s">
        <v>1052</v>
      </c>
      <c r="H154" s="23">
        <v>1</v>
      </c>
      <c r="I154" s="14" t="str">
        <f>TEXT(Tabelle2[[#This Row],[category]],"00")&amp;TEXT(Tabelle2[[#This Row],[internal_order]],"00")</f>
        <v>1001</v>
      </c>
      <c r="J154" s="15">
        <v>2</v>
      </c>
      <c r="K154" s="15">
        <f>Tabelle2[[#This Row],[propertyID]]</f>
        <v>152</v>
      </c>
      <c r="L154" s="15">
        <v>0.2094</v>
      </c>
      <c r="M154" s="15" t="s">
        <v>229</v>
      </c>
      <c r="O154" s="14">
        <v>1</v>
      </c>
      <c r="P154" s="14">
        <f>Tabelle2[[#This Row],[propertyID]]</f>
        <v>152</v>
      </c>
      <c r="Q154" s="14">
        <v>0.2094</v>
      </c>
      <c r="R154" s="14" t="s">
        <v>229</v>
      </c>
      <c r="S154" t="s">
        <v>944</v>
      </c>
      <c r="T154" s="14"/>
      <c r="U154" s="14"/>
      <c r="V154" s="14"/>
      <c r="W154" s="14">
        <v>0</v>
      </c>
      <c r="X154" s="14"/>
    </row>
    <row r="155" spans="1:24" x14ac:dyDescent="0.25">
      <c r="A155">
        <v>153</v>
      </c>
      <c r="B155">
        <v>10</v>
      </c>
      <c r="C155" t="s">
        <v>230</v>
      </c>
      <c r="D155" t="s">
        <v>800</v>
      </c>
      <c r="E155" t="s">
        <v>26</v>
      </c>
      <c r="F155" s="14" t="s">
        <v>26</v>
      </c>
      <c r="G155" t="s">
        <v>1052</v>
      </c>
      <c r="H155" s="23">
        <v>2</v>
      </c>
      <c r="I155" s="14" t="str">
        <f>TEXT(Tabelle2[[#This Row],[category]],"00")&amp;TEXT(Tabelle2[[#This Row],[internal_order]],"00")</f>
        <v>1002</v>
      </c>
      <c r="J155" s="15">
        <v>2</v>
      </c>
      <c r="K155" s="15">
        <f>Tabelle2[[#This Row],[propertyID]]</f>
        <v>153</v>
      </c>
      <c r="L155" s="15">
        <v>4.0000000000000002E-4</v>
      </c>
      <c r="M155" s="15" t="s">
        <v>231</v>
      </c>
      <c r="O155" s="14">
        <v>1</v>
      </c>
      <c r="P155" s="14">
        <f>Tabelle2[[#This Row],[propertyID]]</f>
        <v>153</v>
      </c>
      <c r="Q155" s="14">
        <v>4.0000000000000002E-4</v>
      </c>
      <c r="R155" s="14" t="s">
        <v>231</v>
      </c>
      <c r="S155" t="s">
        <v>944</v>
      </c>
      <c r="T155" s="14"/>
      <c r="U155" s="14"/>
      <c r="V155" s="14"/>
      <c r="W155" s="14">
        <v>0</v>
      </c>
      <c r="X155" s="14"/>
    </row>
    <row r="156" spans="1:24" x14ac:dyDescent="0.25">
      <c r="A156">
        <v>154</v>
      </c>
      <c r="B156">
        <v>10</v>
      </c>
      <c r="C156" t="s">
        <v>241</v>
      </c>
      <c r="D156" t="s">
        <v>806</v>
      </c>
      <c r="E156" t="s">
        <v>242</v>
      </c>
      <c r="F156" s="14" t="s">
        <v>1504</v>
      </c>
      <c r="G156" t="s">
        <v>1052</v>
      </c>
      <c r="H156" s="23">
        <v>3</v>
      </c>
      <c r="I156" s="14" t="str">
        <f>TEXT(Tabelle2[[#This Row],[category]],"00")&amp;TEXT(Tabelle2[[#This Row],[internal_order]],"00")</f>
        <v>1003</v>
      </c>
      <c r="J156" s="15">
        <v>2</v>
      </c>
      <c r="K156" s="15">
        <f>Tabelle2[[#This Row],[propertyID]]</f>
        <v>154</v>
      </c>
      <c r="L156" s="15">
        <v>22.411999999999999</v>
      </c>
      <c r="M156" s="15" t="s">
        <v>243</v>
      </c>
      <c r="O156" s="14">
        <v>1</v>
      </c>
      <c r="P156" s="14">
        <f>Tabelle2[[#This Row],[propertyID]]</f>
        <v>154</v>
      </c>
      <c r="Q156" s="14">
        <v>22.411999999999999</v>
      </c>
      <c r="R156" s="14" t="s">
        <v>243</v>
      </c>
      <c r="S156" t="s">
        <v>944</v>
      </c>
      <c r="T156" s="14"/>
      <c r="U156" s="14"/>
      <c r="V156" s="14"/>
      <c r="W156" s="14">
        <v>0</v>
      </c>
      <c r="X156" s="14"/>
    </row>
    <row r="157" spans="1:24" x14ac:dyDescent="0.25">
      <c r="A157">
        <v>155</v>
      </c>
      <c r="B157">
        <v>10</v>
      </c>
      <c r="C157" t="s">
        <v>248</v>
      </c>
      <c r="D157" t="s">
        <v>809</v>
      </c>
      <c r="E157" t="s">
        <v>249</v>
      </c>
      <c r="F157" s="14" t="s">
        <v>249</v>
      </c>
      <c r="G157" t="s">
        <v>1052</v>
      </c>
      <c r="H157" s="23">
        <v>4</v>
      </c>
      <c r="I157" s="14" t="str">
        <f>TEXT(Tabelle2[[#This Row],[category]],"00")&amp;TEXT(Tabelle2[[#This Row],[internal_order]],"00")</f>
        <v>1004</v>
      </c>
      <c r="J157" s="15">
        <v>2</v>
      </c>
      <c r="K157" s="15">
        <f>Tabelle2[[#This Row],[propertyID]]</f>
        <v>155</v>
      </c>
      <c r="L157" s="15">
        <v>273.14999999999998</v>
      </c>
      <c r="M157" s="15" t="s">
        <v>250</v>
      </c>
      <c r="O157" s="14">
        <v>1</v>
      </c>
      <c r="P157" s="14">
        <f>Tabelle2[[#This Row],[propertyID]]</f>
        <v>155</v>
      </c>
      <c r="Q157" s="14">
        <v>273.14999999999998</v>
      </c>
      <c r="R157" s="14" t="s">
        <v>250</v>
      </c>
      <c r="S157" t="s">
        <v>944</v>
      </c>
      <c r="T157" s="14"/>
      <c r="U157" s="14"/>
      <c r="V157" s="14"/>
      <c r="W157" s="14">
        <v>0</v>
      </c>
      <c r="X157" s="14"/>
    </row>
    <row r="158" spans="1:24" x14ac:dyDescent="0.25">
      <c r="A158">
        <v>156</v>
      </c>
      <c r="B158">
        <v>10</v>
      </c>
      <c r="C158" t="s">
        <v>254</v>
      </c>
      <c r="D158" t="s">
        <v>254</v>
      </c>
      <c r="E158" t="s">
        <v>255</v>
      </c>
      <c r="F158" s="14" t="s">
        <v>1503</v>
      </c>
      <c r="G158" t="s">
        <v>1052</v>
      </c>
      <c r="H158" s="23">
        <v>5</v>
      </c>
      <c r="I158" s="14" t="str">
        <f>TEXT(Tabelle2[[#This Row],[category]],"00")&amp;TEXT(Tabelle2[[#This Row],[internal_order]],"00")</f>
        <v>1005</v>
      </c>
      <c r="J158" s="15">
        <v>2</v>
      </c>
      <c r="K158" s="15">
        <f>Tabelle2[[#This Row],[propertyID]]</f>
        <v>156</v>
      </c>
      <c r="L158" s="15">
        <v>8314</v>
      </c>
      <c r="M158" s="15" t="s">
        <v>256</v>
      </c>
      <c r="O158" s="14">
        <v>1</v>
      </c>
      <c r="P158" s="14">
        <f>Tabelle2[[#This Row],[propertyID]]</f>
        <v>156</v>
      </c>
      <c r="Q158" s="14">
        <v>8314</v>
      </c>
      <c r="R158" s="14" t="s">
        <v>256</v>
      </c>
      <c r="S158" t="s">
        <v>944</v>
      </c>
      <c r="T158" s="14"/>
      <c r="U158" s="14"/>
      <c r="V158" s="14"/>
      <c r="W158" s="14">
        <v>0</v>
      </c>
      <c r="X158" s="14"/>
    </row>
    <row r="159" spans="1:24" x14ac:dyDescent="0.25">
      <c r="A159">
        <v>157</v>
      </c>
      <c r="B159">
        <v>10</v>
      </c>
      <c r="C159" t="s">
        <v>251</v>
      </c>
      <c r="D159" t="s">
        <v>810</v>
      </c>
      <c r="E159" t="s">
        <v>252</v>
      </c>
      <c r="F159" s="14" t="s">
        <v>1502</v>
      </c>
      <c r="G159" t="s">
        <v>1052</v>
      </c>
      <c r="H159" s="23">
        <v>6</v>
      </c>
      <c r="I159" s="14" t="str">
        <f>TEXT(Tabelle2[[#This Row],[category]],"00")&amp;TEXT(Tabelle2[[#This Row],[internal_order]],"00")</f>
        <v>1006</v>
      </c>
      <c r="J159" s="15">
        <v>2</v>
      </c>
      <c r="K159" s="15">
        <f>Tabelle2[[#This Row],[propertyID]]</f>
        <v>157</v>
      </c>
      <c r="L159" s="15">
        <v>101330</v>
      </c>
      <c r="M159" s="15" t="s">
        <v>253</v>
      </c>
      <c r="O159" s="14">
        <v>1</v>
      </c>
      <c r="P159" s="14">
        <f>Tabelle2[[#This Row],[propertyID]]</f>
        <v>157</v>
      </c>
      <c r="Q159" s="14">
        <v>101330</v>
      </c>
      <c r="R159" s="14" t="s">
        <v>253</v>
      </c>
      <c r="S159" t="s">
        <v>944</v>
      </c>
      <c r="T159" s="14"/>
      <c r="U159" s="14"/>
      <c r="V159" s="14"/>
      <c r="W159" s="14">
        <v>0</v>
      </c>
      <c r="X159" s="14"/>
    </row>
    <row r="160" spans="1:24" x14ac:dyDescent="0.25">
      <c r="A160">
        <v>158</v>
      </c>
      <c r="B160">
        <v>10</v>
      </c>
      <c r="C160" t="s">
        <v>244</v>
      </c>
      <c r="D160" t="s">
        <v>807</v>
      </c>
      <c r="E160" t="s">
        <v>112</v>
      </c>
      <c r="F160" s="14" t="s">
        <v>1492</v>
      </c>
      <c r="G160" t="s">
        <v>1052</v>
      </c>
      <c r="H160" s="23">
        <v>7</v>
      </c>
      <c r="I160" s="14" t="str">
        <f>TEXT(Tabelle2[[#This Row],[category]],"00")&amp;TEXT(Tabelle2[[#This Row],[internal_order]],"00")</f>
        <v>1007</v>
      </c>
      <c r="J160" s="15">
        <v>2</v>
      </c>
      <c r="K160" s="15">
        <f>Tabelle2[[#This Row],[propertyID]]</f>
        <v>158</v>
      </c>
      <c r="L160" s="15">
        <v>32</v>
      </c>
      <c r="M160" s="15" t="s">
        <v>245</v>
      </c>
      <c r="O160" s="14">
        <v>1</v>
      </c>
      <c r="P160" s="14">
        <f>Tabelle2[[#This Row],[propertyID]]</f>
        <v>158</v>
      </c>
      <c r="Q160" s="14">
        <v>32</v>
      </c>
      <c r="R160" s="14" t="s">
        <v>245</v>
      </c>
      <c r="S160" t="s">
        <v>944</v>
      </c>
      <c r="T160" s="14"/>
      <c r="U160" s="14"/>
      <c r="V160" s="14"/>
      <c r="W160" s="14">
        <v>0</v>
      </c>
      <c r="X160" s="14"/>
    </row>
    <row r="161" spans="1:24" x14ac:dyDescent="0.25">
      <c r="A161">
        <v>159</v>
      </c>
      <c r="B161">
        <v>10</v>
      </c>
      <c r="C161" t="s">
        <v>246</v>
      </c>
      <c r="D161" t="s">
        <v>808</v>
      </c>
      <c r="E161" t="s">
        <v>112</v>
      </c>
      <c r="F161" s="14" t="s">
        <v>1492</v>
      </c>
      <c r="G161" t="s">
        <v>1052</v>
      </c>
      <c r="H161" s="23">
        <v>8</v>
      </c>
      <c r="I161" s="14" t="str">
        <f>TEXT(Tabelle2[[#This Row],[category]],"00")&amp;TEXT(Tabelle2[[#This Row],[internal_order]],"00")</f>
        <v>1008</v>
      </c>
      <c r="J161" s="15">
        <v>2</v>
      </c>
      <c r="K161" s="15">
        <f>Tabelle2[[#This Row],[propertyID]]</f>
        <v>159</v>
      </c>
      <c r="L161" s="15">
        <v>44</v>
      </c>
      <c r="M161" s="15" t="s">
        <v>247</v>
      </c>
      <c r="O161" s="14">
        <v>1</v>
      </c>
      <c r="P161" s="14">
        <f>Tabelle2[[#This Row],[propertyID]]</f>
        <v>159</v>
      </c>
      <c r="Q161" s="14">
        <v>44</v>
      </c>
      <c r="R161" s="14" t="s">
        <v>247</v>
      </c>
      <c r="S161" t="s">
        <v>944</v>
      </c>
      <c r="T161" s="14"/>
      <c r="U161" s="14"/>
      <c r="V161" s="14"/>
      <c r="W161" s="14">
        <v>0</v>
      </c>
      <c r="X161" s="14"/>
    </row>
    <row r="162" spans="1:24" x14ac:dyDescent="0.25">
      <c r="A162">
        <v>160</v>
      </c>
      <c r="B162">
        <v>10</v>
      </c>
      <c r="C162" t="s">
        <v>286</v>
      </c>
      <c r="D162" t="s">
        <v>801</v>
      </c>
      <c r="E162" t="s">
        <v>287</v>
      </c>
      <c r="F162" s="14" t="s">
        <v>1501</v>
      </c>
      <c r="G162" t="s">
        <v>1052</v>
      </c>
      <c r="H162" s="23">
        <v>9</v>
      </c>
      <c r="I162" s="14" t="str">
        <f>TEXT(Tabelle2[[#This Row],[category]],"00")&amp;TEXT(Tabelle2[[#This Row],[internal_order]],"00")</f>
        <v>1009</v>
      </c>
      <c r="J162" s="15">
        <v>2</v>
      </c>
      <c r="K162" s="15">
        <f>Tabelle2[[#This Row],[propertyID]]</f>
        <v>160</v>
      </c>
      <c r="L162" s="15">
        <v>1500</v>
      </c>
      <c r="M162" s="15" t="s">
        <v>288</v>
      </c>
      <c r="O162" s="14">
        <v>1</v>
      </c>
      <c r="P162" s="14">
        <f>Tabelle2[[#This Row],[propertyID]]</f>
        <v>160</v>
      </c>
      <c r="Q162" s="14">
        <v>1500</v>
      </c>
      <c r="R162" s="14" t="s">
        <v>288</v>
      </c>
      <c r="S162" t="s">
        <v>944</v>
      </c>
      <c r="T162" s="14"/>
      <c r="U162" s="14"/>
      <c r="V162" s="14"/>
      <c r="W162" s="14">
        <v>0</v>
      </c>
      <c r="X162" s="14"/>
    </row>
    <row r="163" spans="1:24" x14ac:dyDescent="0.25">
      <c r="A163">
        <v>161</v>
      </c>
      <c r="B163">
        <v>10</v>
      </c>
      <c r="C163" t="s">
        <v>950</v>
      </c>
      <c r="D163" t="s">
        <v>949</v>
      </c>
      <c r="E163" t="s">
        <v>280</v>
      </c>
      <c r="F163" s="14" t="s">
        <v>1495</v>
      </c>
      <c r="G163" t="s">
        <v>1052</v>
      </c>
      <c r="H163" s="23">
        <v>10</v>
      </c>
      <c r="I163" s="14" t="str">
        <f>TEXT(Tabelle2[[#This Row],[category]],"00")&amp;TEXT(Tabelle2[[#This Row],[internal_order]],"00")</f>
        <v>1010</v>
      </c>
      <c r="J163" s="15">
        <v>2</v>
      </c>
      <c r="K163" s="15">
        <f>Tabelle2[[#This Row],[propertyID]]</f>
        <v>161</v>
      </c>
      <c r="L163" s="15">
        <v>1.0020000000000001E-3</v>
      </c>
      <c r="M163" s="15" t="s">
        <v>281</v>
      </c>
      <c r="O163" s="14">
        <v>1</v>
      </c>
      <c r="P163" s="14">
        <f>Tabelle2[[#This Row],[propertyID]]</f>
        <v>161</v>
      </c>
      <c r="Q163" s="14">
        <v>1.0020000000000001E-3</v>
      </c>
      <c r="R163" s="14" t="s">
        <v>281</v>
      </c>
      <c r="S163" t="s">
        <v>944</v>
      </c>
      <c r="T163" s="14"/>
      <c r="U163" s="14"/>
      <c r="V163" s="14"/>
      <c r="W163" s="14">
        <v>0</v>
      </c>
      <c r="X163" s="14"/>
    </row>
    <row r="164" spans="1:24" x14ac:dyDescent="0.25">
      <c r="A164">
        <v>162</v>
      </c>
      <c r="B164">
        <v>10</v>
      </c>
      <c r="C164" t="s">
        <v>951</v>
      </c>
      <c r="D164" t="s">
        <v>952</v>
      </c>
      <c r="E164" t="s">
        <v>280</v>
      </c>
      <c r="F164" s="14" t="s">
        <v>1495</v>
      </c>
      <c r="G164" t="s">
        <v>1052</v>
      </c>
      <c r="H164" s="23">
        <v>11</v>
      </c>
      <c r="I164" s="14" t="str">
        <f>TEXT(Tabelle2[[#This Row],[category]],"00")&amp;TEXT(Tabelle2[[#This Row],[internal_order]],"00")</f>
        <v>1011</v>
      </c>
      <c r="J164" s="15">
        <v>2</v>
      </c>
      <c r="K164" s="15">
        <f>Tabelle2[[#This Row],[propertyID]]</f>
        <v>162</v>
      </c>
      <c r="L164" s="15">
        <v>1E-3</v>
      </c>
      <c r="M164" s="15" t="s">
        <v>283</v>
      </c>
      <c r="O164" s="14">
        <v>1</v>
      </c>
      <c r="P164" s="14">
        <f>Tabelle2[[#This Row],[propertyID]]</f>
        <v>162</v>
      </c>
      <c r="Q164" s="14">
        <v>1E-3</v>
      </c>
      <c r="R164" s="14" t="s">
        <v>283</v>
      </c>
      <c r="S164" t="s">
        <v>944</v>
      </c>
      <c r="T164" s="14"/>
      <c r="U164" s="14"/>
      <c r="V164" s="14"/>
      <c r="W164" s="14">
        <v>0</v>
      </c>
      <c r="X164" s="14"/>
    </row>
    <row r="165" spans="1:24" x14ac:dyDescent="0.25">
      <c r="A165">
        <v>163</v>
      </c>
      <c r="B165">
        <v>10</v>
      </c>
      <c r="C165" t="s">
        <v>284</v>
      </c>
      <c r="D165" t="s">
        <v>871</v>
      </c>
      <c r="E165" t="s">
        <v>41</v>
      </c>
      <c r="F165" s="14" t="s">
        <v>922</v>
      </c>
      <c r="G165" t="s">
        <v>1052</v>
      </c>
      <c r="H165" s="23">
        <v>12</v>
      </c>
      <c r="I165" s="14" t="str">
        <f>TEXT(Tabelle2[[#This Row],[category]],"00")&amp;TEXT(Tabelle2[[#This Row],[internal_order]],"00")</f>
        <v>1012</v>
      </c>
      <c r="J165" s="15">
        <v>2</v>
      </c>
      <c r="K165" s="15">
        <f>Tabelle2[[#This Row],[propertyID]]</f>
        <v>163</v>
      </c>
      <c r="L165" s="15">
        <v>100</v>
      </c>
      <c r="M165" s="15" t="s">
        <v>285</v>
      </c>
      <c r="O165" s="14">
        <v>1</v>
      </c>
      <c r="P165" s="14">
        <f>Tabelle2[[#This Row],[propertyID]]</f>
        <v>163</v>
      </c>
      <c r="Q165" s="14">
        <v>100</v>
      </c>
      <c r="R165" s="14" t="s">
        <v>285</v>
      </c>
      <c r="S165" t="s">
        <v>944</v>
      </c>
      <c r="T165" s="14"/>
      <c r="U165" s="14"/>
      <c r="V165" s="14"/>
      <c r="W165" s="14">
        <v>0</v>
      </c>
      <c r="X165" s="14"/>
    </row>
    <row r="166" spans="1:24" x14ac:dyDescent="0.25">
      <c r="A166">
        <v>164</v>
      </c>
      <c r="B166">
        <v>10</v>
      </c>
      <c r="C166" t="s">
        <v>235</v>
      </c>
      <c r="D166" t="s">
        <v>803</v>
      </c>
      <c r="E166" t="s">
        <v>233</v>
      </c>
      <c r="F166" s="14" t="s">
        <v>1496</v>
      </c>
      <c r="G166" t="s">
        <v>1052</v>
      </c>
      <c r="H166" s="23">
        <v>13</v>
      </c>
      <c r="I166" s="14" t="str">
        <f>TEXT(Tabelle2[[#This Row],[category]],"00")&amp;TEXT(Tabelle2[[#This Row],[internal_order]],"00")</f>
        <v>1013</v>
      </c>
      <c r="J166" s="15">
        <v>2</v>
      </c>
      <c r="K166" s="15">
        <f>Tabelle2[[#This Row],[propertyID]]</f>
        <v>164</v>
      </c>
      <c r="L166" s="15">
        <v>1440000</v>
      </c>
      <c r="M166" s="15" t="s">
        <v>236</v>
      </c>
      <c r="O166" s="14">
        <v>1</v>
      </c>
      <c r="P166" s="14">
        <f>Tabelle2[[#This Row],[propertyID]]</f>
        <v>164</v>
      </c>
      <c r="Q166" s="14">
        <v>1440000</v>
      </c>
      <c r="R166" s="14" t="s">
        <v>236</v>
      </c>
      <c r="S166" t="s">
        <v>944</v>
      </c>
      <c r="T166" s="14"/>
      <c r="U166" s="14"/>
      <c r="V166" s="14"/>
      <c r="W166" s="14">
        <v>-1000000</v>
      </c>
      <c r="X166" s="14"/>
    </row>
    <row r="167" spans="1:24" x14ac:dyDescent="0.25">
      <c r="A167">
        <v>165</v>
      </c>
      <c r="B167">
        <v>10</v>
      </c>
      <c r="C167" t="s">
        <v>232</v>
      </c>
      <c r="D167" t="s">
        <v>802</v>
      </c>
      <c r="E167" t="s">
        <v>233</v>
      </c>
      <c r="F167" s="14" t="s">
        <v>1496</v>
      </c>
      <c r="G167" t="s">
        <v>1052</v>
      </c>
      <c r="H167" s="23">
        <v>14</v>
      </c>
      <c r="I167" s="14" t="str">
        <f>TEXT(Tabelle2[[#This Row],[category]],"00")&amp;TEXT(Tabelle2[[#This Row],[internal_order]],"00")</f>
        <v>1014</v>
      </c>
      <c r="J167" s="15">
        <v>2</v>
      </c>
      <c r="K167" s="15">
        <f>Tabelle2[[#This Row],[propertyID]]</f>
        <v>165</v>
      </c>
      <c r="L167" s="15">
        <v>1448000</v>
      </c>
      <c r="M167" s="15" t="s">
        <v>234</v>
      </c>
      <c r="O167" s="14">
        <v>1</v>
      </c>
      <c r="P167" s="14">
        <f>Tabelle2[[#This Row],[propertyID]]</f>
        <v>165</v>
      </c>
      <c r="Q167" s="14">
        <v>1448000</v>
      </c>
      <c r="R167" s="14" t="s">
        <v>234</v>
      </c>
      <c r="S167" t="s">
        <v>944</v>
      </c>
      <c r="T167" s="14"/>
      <c r="U167" s="14"/>
      <c r="V167" s="14"/>
      <c r="W167" s="14">
        <v>-1000000</v>
      </c>
      <c r="X167" s="14"/>
    </row>
    <row r="168" spans="1:24" x14ac:dyDescent="0.25">
      <c r="A168">
        <v>166</v>
      </c>
      <c r="B168">
        <v>10</v>
      </c>
      <c r="C168" t="s">
        <v>239</v>
      </c>
      <c r="D168" t="s">
        <v>805</v>
      </c>
      <c r="E168" t="s">
        <v>233</v>
      </c>
      <c r="F168" s="14" t="s">
        <v>1496</v>
      </c>
      <c r="G168" t="s">
        <v>1052</v>
      </c>
      <c r="H168" s="23">
        <v>15</v>
      </c>
      <c r="I168" s="14" t="str">
        <f>TEXT(Tabelle2[[#This Row],[category]],"00")&amp;TEXT(Tabelle2[[#This Row],[internal_order]],"00")</f>
        <v>1015</v>
      </c>
      <c r="J168" s="15">
        <v>2</v>
      </c>
      <c r="K168" s="15">
        <f>Tabelle2[[#This Row],[propertyID]]</f>
        <v>166</v>
      </c>
      <c r="L168" s="15">
        <v>30010</v>
      </c>
      <c r="M168" s="15" t="s">
        <v>240</v>
      </c>
      <c r="O168" s="14">
        <v>1</v>
      </c>
      <c r="P168" s="14">
        <f>Tabelle2[[#This Row],[propertyID]]</f>
        <v>166</v>
      </c>
      <c r="Q168" s="14">
        <v>30010</v>
      </c>
      <c r="R168" s="14" t="s">
        <v>240</v>
      </c>
      <c r="S168" t="s">
        <v>944</v>
      </c>
      <c r="T168" s="14"/>
      <c r="U168" s="14"/>
      <c r="V168" s="14"/>
      <c r="W168" s="14">
        <v>-1000000</v>
      </c>
      <c r="X168" s="14"/>
    </row>
    <row r="169" spans="1:24" x14ac:dyDescent="0.25">
      <c r="A169">
        <v>167</v>
      </c>
      <c r="B169">
        <v>10</v>
      </c>
      <c r="C169" t="s">
        <v>237</v>
      </c>
      <c r="D169" t="s">
        <v>804</v>
      </c>
      <c r="E169" t="s">
        <v>233</v>
      </c>
      <c r="F169" s="14" t="s">
        <v>1496</v>
      </c>
      <c r="G169" t="s">
        <v>1052</v>
      </c>
      <c r="H169" s="23">
        <v>16</v>
      </c>
      <c r="I169" s="14" t="str">
        <f>TEXT(Tabelle2[[#This Row],[category]],"00")&amp;TEXT(Tabelle2[[#This Row],[internal_order]],"00")</f>
        <v>1016</v>
      </c>
      <c r="J169" s="15">
        <v>2</v>
      </c>
      <c r="K169" s="15">
        <f>Tabelle2[[#This Row],[propertyID]]</f>
        <v>167</v>
      </c>
      <c r="L169" s="15">
        <v>30010</v>
      </c>
      <c r="M169" s="15" t="s">
        <v>238</v>
      </c>
      <c r="O169" s="14">
        <v>1</v>
      </c>
      <c r="P169" s="14">
        <f>Tabelle2[[#This Row],[propertyID]]</f>
        <v>167</v>
      </c>
      <c r="Q169" s="14">
        <v>30010</v>
      </c>
      <c r="R169" s="14" t="s">
        <v>238</v>
      </c>
      <c r="S169" t="s">
        <v>944</v>
      </c>
      <c r="T169" s="14"/>
      <c r="U169" s="14"/>
      <c r="V169" s="14"/>
      <c r="W169" s="14">
        <v>-1000000</v>
      </c>
      <c r="X169" s="14"/>
    </row>
    <row r="170" spans="1:24" x14ac:dyDescent="0.25">
      <c r="A170">
        <v>168</v>
      </c>
      <c r="B170">
        <v>10</v>
      </c>
      <c r="C170" t="s">
        <v>257</v>
      </c>
      <c r="D170" t="s">
        <v>811</v>
      </c>
      <c r="E170" t="s">
        <v>258</v>
      </c>
      <c r="F170" s="14" t="s">
        <v>1497</v>
      </c>
      <c r="G170" t="s">
        <v>1052</v>
      </c>
      <c r="H170" s="23">
        <v>17</v>
      </c>
      <c r="I170" s="14" t="str">
        <f>TEXT(Tabelle2[[#This Row],[category]],"00")&amp;TEXT(Tabelle2[[#This Row],[internal_order]],"00")</f>
        <v>1017</v>
      </c>
      <c r="J170" s="15">
        <v>2</v>
      </c>
      <c r="K170" s="15">
        <f>Tabelle2[[#This Row],[propertyID]]</f>
        <v>168</v>
      </c>
      <c r="L170" s="15">
        <v>-2.7230000000000001E-2</v>
      </c>
      <c r="M170" s="15" t="s">
        <v>259</v>
      </c>
      <c r="O170" s="14">
        <v>1</v>
      </c>
      <c r="P170" s="14">
        <f>Tabelle2[[#This Row],[propertyID]]</f>
        <v>168</v>
      </c>
      <c r="Q170" s="14">
        <v>-2.7230000000000001E-2</v>
      </c>
      <c r="R170" s="14" t="s">
        <v>259</v>
      </c>
      <c r="S170" t="s">
        <v>944</v>
      </c>
      <c r="T170" s="14"/>
      <c r="U170" s="14"/>
      <c r="V170" s="14"/>
      <c r="W170" s="14">
        <v>-1000000</v>
      </c>
      <c r="X170" s="14"/>
    </row>
    <row r="171" spans="1:24" x14ac:dyDescent="0.25">
      <c r="A171">
        <v>169</v>
      </c>
      <c r="B171">
        <v>10</v>
      </c>
      <c r="C171" t="s">
        <v>260</v>
      </c>
      <c r="D171" t="s">
        <v>812</v>
      </c>
      <c r="E171" t="s">
        <v>261</v>
      </c>
      <c r="F171" s="14" t="s">
        <v>1498</v>
      </c>
      <c r="G171" t="s">
        <v>1052</v>
      </c>
      <c r="H171" s="23">
        <v>18</v>
      </c>
      <c r="I171" s="14" t="str">
        <f>TEXT(Tabelle2[[#This Row],[category]],"00")&amp;TEXT(Tabelle2[[#This Row],[internal_order]],"00")</f>
        <v>1018</v>
      </c>
      <c r="J171" s="15">
        <v>2</v>
      </c>
      <c r="K171" s="15">
        <f>Tabelle2[[#This Row],[propertyID]]</f>
        <v>169</v>
      </c>
      <c r="L171" s="15">
        <v>5.6269999999999996E-4</v>
      </c>
      <c r="M171" s="15" t="s">
        <v>259</v>
      </c>
      <c r="O171" s="14">
        <v>1</v>
      </c>
      <c r="P171" s="14">
        <f>Tabelle2[[#This Row],[propertyID]]</f>
        <v>169</v>
      </c>
      <c r="Q171" s="14">
        <v>5.6269999999999996E-4</v>
      </c>
      <c r="R171" s="14" t="s">
        <v>259</v>
      </c>
      <c r="S171" t="s">
        <v>944</v>
      </c>
      <c r="T171" s="14"/>
      <c r="U171" s="14"/>
      <c r="V171" s="14"/>
      <c r="W171" s="14">
        <v>-1000000</v>
      </c>
      <c r="X171" s="14"/>
    </row>
    <row r="172" spans="1:24" x14ac:dyDescent="0.25">
      <c r="A172">
        <v>170</v>
      </c>
      <c r="B172">
        <v>10</v>
      </c>
      <c r="C172" t="s">
        <v>262</v>
      </c>
      <c r="D172" t="s">
        <v>813</v>
      </c>
      <c r="E172" t="s">
        <v>263</v>
      </c>
      <c r="F172" s="14" t="s">
        <v>1499</v>
      </c>
      <c r="G172" t="s">
        <v>1052</v>
      </c>
      <c r="H172" s="23">
        <v>19</v>
      </c>
      <c r="I172" s="14" t="str">
        <f>TEXT(Tabelle2[[#This Row],[category]],"00")&amp;TEXT(Tabelle2[[#This Row],[internal_order]],"00")</f>
        <v>1019</v>
      </c>
      <c r="J172" s="15">
        <v>2</v>
      </c>
      <c r="K172" s="15">
        <f>Tabelle2[[#This Row],[propertyID]]</f>
        <v>170</v>
      </c>
      <c r="L172" s="15">
        <v>-6.5969999999999997E-6</v>
      </c>
      <c r="M172" s="15" t="s">
        <v>259</v>
      </c>
      <c r="O172" s="14">
        <v>1</v>
      </c>
      <c r="P172" s="14">
        <f>Tabelle2[[#This Row],[propertyID]]</f>
        <v>170</v>
      </c>
      <c r="Q172" s="14">
        <v>-6.5969999999999997E-6</v>
      </c>
      <c r="R172" s="14" t="s">
        <v>259</v>
      </c>
      <c r="S172" t="s">
        <v>944</v>
      </c>
      <c r="T172" s="14"/>
      <c r="U172" s="14"/>
      <c r="V172" s="14"/>
      <c r="W172" s="14">
        <v>-1000000</v>
      </c>
      <c r="X172" s="14"/>
    </row>
    <row r="173" spans="1:24" x14ac:dyDescent="0.25">
      <c r="A173">
        <v>171</v>
      </c>
      <c r="B173">
        <v>10</v>
      </c>
      <c r="C173" t="s">
        <v>264</v>
      </c>
      <c r="D173" t="s">
        <v>814</v>
      </c>
      <c r="E173" t="s">
        <v>265</v>
      </c>
      <c r="F173" s="14" t="s">
        <v>1500</v>
      </c>
      <c r="G173" t="s">
        <v>1052</v>
      </c>
      <c r="H173" s="23">
        <v>20</v>
      </c>
      <c r="I173" s="14" t="str">
        <f>TEXT(Tabelle2[[#This Row],[category]],"00")&amp;TEXT(Tabelle2[[#This Row],[internal_order]],"00")</f>
        <v>1020</v>
      </c>
      <c r="J173" s="15">
        <v>2</v>
      </c>
      <c r="K173" s="15">
        <f>Tabelle2[[#This Row],[propertyID]]</f>
        <v>171</v>
      </c>
      <c r="L173" s="15">
        <v>3.2800000000000003E-8</v>
      </c>
      <c r="M173" s="15" t="s">
        <v>259</v>
      </c>
      <c r="O173" s="14">
        <v>1</v>
      </c>
      <c r="P173" s="14">
        <f>Tabelle2[[#This Row],[propertyID]]</f>
        <v>171</v>
      </c>
      <c r="Q173" s="14">
        <v>3.2800000000000003E-8</v>
      </c>
      <c r="R173" s="14" t="s">
        <v>259</v>
      </c>
      <c r="S173" t="s">
        <v>944</v>
      </c>
      <c r="T173" s="14"/>
      <c r="U173" s="14"/>
      <c r="V173" s="14"/>
      <c r="W173" s="14">
        <v>-1000000</v>
      </c>
      <c r="X173" s="14"/>
    </row>
    <row r="174" spans="1:24" x14ac:dyDescent="0.25">
      <c r="A174">
        <v>172</v>
      </c>
      <c r="B174">
        <v>10</v>
      </c>
      <c r="C174" t="s">
        <v>266</v>
      </c>
      <c r="D174" t="s">
        <v>815</v>
      </c>
      <c r="E174" t="s">
        <v>258</v>
      </c>
      <c r="F174" s="14" t="s">
        <v>1497</v>
      </c>
      <c r="G174" t="s">
        <v>1052</v>
      </c>
      <c r="H174" s="23">
        <v>21</v>
      </c>
      <c r="I174" s="14" t="str">
        <f>TEXT(Tabelle2[[#This Row],[category]],"00")&amp;TEXT(Tabelle2[[#This Row],[internal_order]],"00")</f>
        <v>1021</v>
      </c>
      <c r="J174" s="15">
        <v>2</v>
      </c>
      <c r="K174" s="15">
        <f>Tabelle2[[#This Row],[propertyID]]</f>
        <v>172</v>
      </c>
      <c r="L174" s="15">
        <v>-3.8890000000000001E-2</v>
      </c>
      <c r="M174" s="15" t="s">
        <v>267</v>
      </c>
      <c r="O174" s="14">
        <v>1</v>
      </c>
      <c r="P174" s="14">
        <f>Tabelle2[[#This Row],[propertyID]]</f>
        <v>172</v>
      </c>
      <c r="Q174" s="14">
        <v>-3.8890000000000001E-2</v>
      </c>
      <c r="R174" s="14" t="s">
        <v>267</v>
      </c>
      <c r="S174" t="s">
        <v>944</v>
      </c>
      <c r="T174" s="14"/>
      <c r="U174" s="14"/>
      <c r="V174" s="14"/>
      <c r="W174" s="14">
        <v>-1000000</v>
      </c>
      <c r="X174" s="14"/>
    </row>
    <row r="175" spans="1:24" x14ac:dyDescent="0.25">
      <c r="A175">
        <v>173</v>
      </c>
      <c r="B175">
        <v>10</v>
      </c>
      <c r="C175" t="s">
        <v>268</v>
      </c>
      <c r="D175" t="s">
        <v>816</v>
      </c>
      <c r="E175" t="s">
        <v>261</v>
      </c>
      <c r="F175" s="14" t="s">
        <v>1498</v>
      </c>
      <c r="G175" t="s">
        <v>1052</v>
      </c>
      <c r="H175" s="23">
        <v>22</v>
      </c>
      <c r="I175" s="14" t="str">
        <f>TEXT(Tabelle2[[#This Row],[category]],"00")&amp;TEXT(Tabelle2[[#This Row],[internal_order]],"00")</f>
        <v>1022</v>
      </c>
      <c r="J175" s="15">
        <v>2</v>
      </c>
      <c r="K175" s="15">
        <f>Tabelle2[[#This Row],[propertyID]]</f>
        <v>173</v>
      </c>
      <c r="L175" s="15">
        <v>9.4419999999999997E-4</v>
      </c>
      <c r="M175" s="15" t="s">
        <v>267</v>
      </c>
      <c r="O175" s="14">
        <v>1</v>
      </c>
      <c r="P175" s="14">
        <f>Tabelle2[[#This Row],[propertyID]]</f>
        <v>173</v>
      </c>
      <c r="Q175" s="14">
        <v>9.4419999999999997E-4</v>
      </c>
      <c r="R175" s="14" t="s">
        <v>267</v>
      </c>
      <c r="S175" t="s">
        <v>944</v>
      </c>
      <c r="T175" s="14"/>
      <c r="U175" s="14"/>
      <c r="V175" s="14"/>
      <c r="W175" s="14">
        <v>-1000000</v>
      </c>
      <c r="X175" s="14"/>
    </row>
    <row r="176" spans="1:24" x14ac:dyDescent="0.25">
      <c r="A176">
        <v>174</v>
      </c>
      <c r="B176">
        <v>10</v>
      </c>
      <c r="C176" t="s">
        <v>269</v>
      </c>
      <c r="D176" t="s">
        <v>817</v>
      </c>
      <c r="E176" t="s">
        <v>263</v>
      </c>
      <c r="F176" s="14" t="s">
        <v>1499</v>
      </c>
      <c r="G176" t="s">
        <v>1052</v>
      </c>
      <c r="H176" s="23">
        <v>23</v>
      </c>
      <c r="I176" s="14" t="str">
        <f>TEXT(Tabelle2[[#This Row],[category]],"00")&amp;TEXT(Tabelle2[[#This Row],[internal_order]],"00")</f>
        <v>1023</v>
      </c>
      <c r="J176" s="15">
        <v>2</v>
      </c>
      <c r="K176" s="15">
        <f>Tabelle2[[#This Row],[propertyID]]</f>
        <v>174</v>
      </c>
      <c r="L176" s="15">
        <v>-1.328E-5</v>
      </c>
      <c r="M176" s="15" t="s">
        <v>267</v>
      </c>
      <c r="O176" s="14">
        <v>1</v>
      </c>
      <c r="P176" s="14">
        <f>Tabelle2[[#This Row],[propertyID]]</f>
        <v>174</v>
      </c>
      <c r="Q176" s="14">
        <v>-1.328E-5</v>
      </c>
      <c r="R176" s="14" t="s">
        <v>267</v>
      </c>
      <c r="S176" t="s">
        <v>944</v>
      </c>
      <c r="T176" s="14"/>
      <c r="U176" s="14"/>
      <c r="V176" s="14"/>
      <c r="W176" s="14">
        <v>-1000000</v>
      </c>
      <c r="X176" s="14"/>
    </row>
    <row r="177" spans="1:24" x14ac:dyDescent="0.25">
      <c r="A177">
        <v>175</v>
      </c>
      <c r="B177">
        <v>10</v>
      </c>
      <c r="C177" t="s">
        <v>270</v>
      </c>
      <c r="D177" t="s">
        <v>818</v>
      </c>
      <c r="E177" t="s">
        <v>265</v>
      </c>
      <c r="F177" s="14" t="s">
        <v>1500</v>
      </c>
      <c r="G177" t="s">
        <v>1052</v>
      </c>
      <c r="H177" s="23">
        <v>24</v>
      </c>
      <c r="I177" s="14" t="str">
        <f>TEXT(Tabelle2[[#This Row],[category]],"00")&amp;TEXT(Tabelle2[[#This Row],[internal_order]],"00")</f>
        <v>1024</v>
      </c>
      <c r="J177" s="15">
        <v>2</v>
      </c>
      <c r="K177" s="15">
        <f>Tabelle2[[#This Row],[propertyID]]</f>
        <v>175</v>
      </c>
      <c r="L177" s="15">
        <v>8.1100000000000005E-8</v>
      </c>
      <c r="M177" s="15" t="s">
        <v>267</v>
      </c>
      <c r="O177" s="14">
        <v>1</v>
      </c>
      <c r="P177" s="14">
        <f>Tabelle2[[#This Row],[propertyID]]</f>
        <v>175</v>
      </c>
      <c r="Q177" s="14">
        <v>8.1100000000000005E-8</v>
      </c>
      <c r="R177" s="14" t="s">
        <v>267</v>
      </c>
      <c r="S177" t="s">
        <v>944</v>
      </c>
      <c r="T177" s="14"/>
      <c r="U177" s="14"/>
      <c r="V177" s="14"/>
      <c r="W177" s="14">
        <v>-1000000</v>
      </c>
      <c r="X177" s="14"/>
    </row>
    <row r="178" spans="1:24" x14ac:dyDescent="0.25">
      <c r="A178">
        <v>176</v>
      </c>
      <c r="B178">
        <v>10</v>
      </c>
      <c r="C178" t="s">
        <v>289</v>
      </c>
      <c r="D178" t="s">
        <v>821</v>
      </c>
      <c r="E178" t="s">
        <v>61</v>
      </c>
      <c r="F178" s="14" t="s">
        <v>997</v>
      </c>
      <c r="G178" t="s">
        <v>1052</v>
      </c>
      <c r="H178" s="23">
        <v>25</v>
      </c>
      <c r="I178" s="14" t="str">
        <f>TEXT(Tabelle2[[#This Row],[category]],"00")&amp;TEXT(Tabelle2[[#This Row],[internal_order]],"00")</f>
        <v>1025</v>
      </c>
      <c r="J178" s="15">
        <v>2</v>
      </c>
      <c r="K178" s="15">
        <f>Tabelle2[[#This Row],[propertyID]]</f>
        <v>176</v>
      </c>
      <c r="L178" s="15">
        <v>4.3099999999999998E-7</v>
      </c>
      <c r="M178" s="15" t="s">
        <v>290</v>
      </c>
      <c r="O178" s="14">
        <v>1</v>
      </c>
      <c r="P178" s="14">
        <f>Tabelle2[[#This Row],[propertyID]]</f>
        <v>176</v>
      </c>
      <c r="Q178" s="14">
        <v>4.3099999999999998E-7</v>
      </c>
      <c r="R178" s="14" t="s">
        <v>290</v>
      </c>
      <c r="S178" t="s">
        <v>944</v>
      </c>
      <c r="T178" s="14"/>
      <c r="U178" s="14"/>
      <c r="V178" s="14"/>
      <c r="W178" s="14">
        <v>-1000000</v>
      </c>
      <c r="X178" s="14"/>
    </row>
    <row r="179" spans="1:24" x14ac:dyDescent="0.25">
      <c r="A179">
        <v>177</v>
      </c>
      <c r="B179">
        <v>10</v>
      </c>
      <c r="C179" t="s">
        <v>291</v>
      </c>
      <c r="D179" t="s">
        <v>822</v>
      </c>
      <c r="E179" t="s">
        <v>61</v>
      </c>
      <c r="F179" s="14" t="s">
        <v>997</v>
      </c>
      <c r="G179" t="s">
        <v>1052</v>
      </c>
      <c r="H179" s="23">
        <v>26</v>
      </c>
      <c r="I179" s="14" t="str">
        <f>TEXT(Tabelle2[[#This Row],[category]],"00")&amp;TEXT(Tabelle2[[#This Row],[internal_order]],"00")</f>
        <v>1026</v>
      </c>
      <c r="J179" s="15">
        <v>2</v>
      </c>
      <c r="K179" s="15">
        <f>Tabelle2[[#This Row],[propertyID]]</f>
        <v>177</v>
      </c>
      <c r="L179" s="15">
        <v>5.6099999999999999E-11</v>
      </c>
      <c r="M179" s="15" t="s">
        <v>292</v>
      </c>
      <c r="O179" s="14">
        <v>1</v>
      </c>
      <c r="P179" s="14">
        <f>Tabelle2[[#This Row],[propertyID]]</f>
        <v>177</v>
      </c>
      <c r="Q179" s="14">
        <v>5.6099999999999999E-11</v>
      </c>
      <c r="R179" s="14" t="s">
        <v>292</v>
      </c>
      <c r="S179" t="s">
        <v>944</v>
      </c>
      <c r="T179" s="14"/>
      <c r="U179" s="14"/>
      <c r="V179" s="14"/>
      <c r="W179" s="14">
        <v>-1000000</v>
      </c>
      <c r="X179" s="14"/>
    </row>
    <row r="180" spans="1:24" x14ac:dyDescent="0.25">
      <c r="A180">
        <v>178</v>
      </c>
      <c r="B180">
        <v>10</v>
      </c>
      <c r="C180" t="s">
        <v>293</v>
      </c>
      <c r="D180" t="s">
        <v>872</v>
      </c>
      <c r="E180" t="s">
        <v>26</v>
      </c>
      <c r="F180" s="14" t="s">
        <v>26</v>
      </c>
      <c r="G180" t="s">
        <v>1052</v>
      </c>
      <c r="H180" s="23">
        <v>27</v>
      </c>
      <c r="I180" s="14" t="str">
        <f>TEXT(Tabelle2[[#This Row],[category]],"00")&amp;TEXT(Tabelle2[[#This Row],[internal_order]],"00")</f>
        <v>1027</v>
      </c>
      <c r="J180" s="15">
        <v>2</v>
      </c>
      <c r="K180" s="15">
        <f>Tabelle2[[#This Row],[propertyID]]</f>
        <v>178</v>
      </c>
      <c r="L180" s="15">
        <v>0.5</v>
      </c>
      <c r="M180" s="15" t="s">
        <v>294</v>
      </c>
      <c r="O180" s="14">
        <v>1</v>
      </c>
      <c r="P180" s="14">
        <f>Tabelle2[[#This Row],[propertyID]]</f>
        <v>178</v>
      </c>
      <c r="Q180" s="14">
        <v>0.5</v>
      </c>
      <c r="R180" s="14" t="s">
        <v>294</v>
      </c>
      <c r="S180" t="s">
        <v>944</v>
      </c>
      <c r="T180" s="14"/>
      <c r="U180" s="14"/>
      <c r="V180" s="14"/>
      <c r="W180" s="14">
        <v>0</v>
      </c>
      <c r="X180" s="14"/>
    </row>
    <row r="181" spans="1:24" x14ac:dyDescent="0.25">
      <c r="A181">
        <v>179</v>
      </c>
      <c r="B181">
        <v>10</v>
      </c>
      <c r="C181" t="s">
        <v>295</v>
      </c>
      <c r="D181" t="s">
        <v>873</v>
      </c>
      <c r="E181" t="s">
        <v>26</v>
      </c>
      <c r="F181" s="14" t="s">
        <v>26</v>
      </c>
      <c r="G181" t="s">
        <v>1052</v>
      </c>
      <c r="H181" s="23">
        <v>28</v>
      </c>
      <c r="I181" s="14" t="str">
        <f>TEXT(Tabelle2[[#This Row],[category]],"00")&amp;TEXT(Tabelle2[[#This Row],[internal_order]],"00")</f>
        <v>1028</v>
      </c>
      <c r="J181" s="15">
        <v>2</v>
      </c>
      <c r="K181" s="15">
        <f>Tabelle2[[#This Row],[propertyID]]</f>
        <v>179</v>
      </c>
      <c r="L181" s="15">
        <v>0.5</v>
      </c>
      <c r="M181" s="15" t="s">
        <v>294</v>
      </c>
      <c r="O181" s="14">
        <v>1</v>
      </c>
      <c r="P181" s="14">
        <f>Tabelle2[[#This Row],[propertyID]]</f>
        <v>179</v>
      </c>
      <c r="Q181" s="14">
        <v>0.5</v>
      </c>
      <c r="R181" s="14" t="s">
        <v>294</v>
      </c>
      <c r="S181" t="s">
        <v>944</v>
      </c>
      <c r="T181" s="14"/>
      <c r="U181" s="14"/>
      <c r="V181" s="14"/>
      <c r="W181" s="14">
        <v>0</v>
      </c>
      <c r="X181" s="14"/>
    </row>
    <row r="182" spans="1:24" x14ac:dyDescent="0.25">
      <c r="A182">
        <v>180</v>
      </c>
      <c r="B182">
        <v>10</v>
      </c>
      <c r="C182" t="s">
        <v>296</v>
      </c>
      <c r="D182" t="s">
        <v>874</v>
      </c>
      <c r="E182" t="s">
        <v>26</v>
      </c>
      <c r="F182" s="14" t="s">
        <v>26</v>
      </c>
      <c r="G182" t="s">
        <v>1052</v>
      </c>
      <c r="H182" s="23">
        <v>29</v>
      </c>
      <c r="I182" s="14" t="str">
        <f>TEXT(Tabelle2[[#This Row],[category]],"00")&amp;TEXT(Tabelle2[[#This Row],[internal_order]],"00")</f>
        <v>1029</v>
      </c>
      <c r="J182" s="15">
        <v>2</v>
      </c>
      <c r="K182" s="15">
        <f>Tabelle2[[#This Row],[propertyID]]</f>
        <v>180</v>
      </c>
      <c r="L182" s="15">
        <v>-0.05</v>
      </c>
      <c r="M182" s="15" t="s">
        <v>294</v>
      </c>
      <c r="O182" s="14">
        <v>1</v>
      </c>
      <c r="P182" s="14">
        <f>Tabelle2[[#This Row],[propertyID]]</f>
        <v>180</v>
      </c>
      <c r="Q182" s="14">
        <v>-0.05</v>
      </c>
      <c r="R182" s="14" t="s">
        <v>294</v>
      </c>
      <c r="S182" t="s">
        <v>944</v>
      </c>
      <c r="T182" s="14"/>
      <c r="U182" s="14"/>
      <c r="V182" s="14"/>
      <c r="W182" s="14">
        <v>-1000000</v>
      </c>
      <c r="X182" s="14"/>
    </row>
    <row r="183" spans="1:24" x14ac:dyDescent="0.25">
      <c r="A183">
        <v>181</v>
      </c>
      <c r="B183">
        <v>10</v>
      </c>
      <c r="C183" t="s">
        <v>273</v>
      </c>
      <c r="D183" t="s">
        <v>820</v>
      </c>
      <c r="E183" t="s">
        <v>274</v>
      </c>
      <c r="F183" s="14" t="s">
        <v>1493</v>
      </c>
      <c r="G183" t="s">
        <v>1052</v>
      </c>
      <c r="H183" s="23">
        <v>30</v>
      </c>
      <c r="I183" s="14" t="str">
        <f>TEXT(Tabelle2[[#This Row],[category]],"00")&amp;TEXT(Tabelle2[[#This Row],[internal_order]],"00")</f>
        <v>1030</v>
      </c>
      <c r="J183" s="15">
        <v>2</v>
      </c>
      <c r="K183" s="15">
        <f>Tabelle2[[#This Row],[propertyID]]</f>
        <v>181</v>
      </c>
      <c r="L183" s="15">
        <v>1.167</v>
      </c>
      <c r="M183" s="15" t="s">
        <v>275</v>
      </c>
      <c r="O183" s="14">
        <v>1</v>
      </c>
      <c r="P183" s="14">
        <f>Tabelle2[[#This Row],[propertyID]]</f>
        <v>181</v>
      </c>
      <c r="Q183" s="14">
        <v>1.167</v>
      </c>
      <c r="R183" s="14" t="s">
        <v>275</v>
      </c>
      <c r="S183" t="s">
        <v>944</v>
      </c>
      <c r="T183" s="14"/>
      <c r="U183" s="14"/>
      <c r="V183" s="14"/>
      <c r="W183" s="14">
        <v>0</v>
      </c>
      <c r="X183" s="14"/>
    </row>
    <row r="184" spans="1:24" x14ac:dyDescent="0.25">
      <c r="A184">
        <v>182</v>
      </c>
      <c r="B184">
        <v>10</v>
      </c>
      <c r="C184" t="s">
        <v>276</v>
      </c>
      <c r="D184" t="s">
        <v>823</v>
      </c>
      <c r="E184" t="s">
        <v>277</v>
      </c>
      <c r="F184" s="14" t="s">
        <v>1494</v>
      </c>
      <c r="G184" t="s">
        <v>1052</v>
      </c>
      <c r="H184" s="23">
        <v>31</v>
      </c>
      <c r="I184" s="14" t="str">
        <f>TEXT(Tabelle2[[#This Row],[category]],"00")&amp;TEXT(Tabelle2[[#This Row],[internal_order]],"00")</f>
        <v>1031</v>
      </c>
      <c r="J184" s="15">
        <v>2</v>
      </c>
      <c r="K184" s="15">
        <f>Tabelle2[[#This Row],[propertyID]]</f>
        <v>182</v>
      </c>
      <c r="L184" s="15">
        <v>2170</v>
      </c>
      <c r="M184" s="15" t="s">
        <v>278</v>
      </c>
      <c r="O184" s="14">
        <v>1</v>
      </c>
      <c r="P184" s="14">
        <f>Tabelle2[[#This Row],[propertyID]]</f>
        <v>182</v>
      </c>
      <c r="Q184" s="14">
        <v>2170</v>
      </c>
      <c r="R184" s="14" t="s">
        <v>278</v>
      </c>
      <c r="S184" t="s">
        <v>944</v>
      </c>
      <c r="T184" s="14"/>
      <c r="U184" s="14"/>
      <c r="V184" s="14"/>
      <c r="W184" s="14">
        <v>0</v>
      </c>
      <c r="X184" s="14"/>
    </row>
    <row r="185" spans="1:24" x14ac:dyDescent="0.25">
      <c r="A185">
        <v>183</v>
      </c>
      <c r="B185">
        <v>10</v>
      </c>
      <c r="C185" t="s">
        <v>271</v>
      </c>
      <c r="D185" t="s">
        <v>819</v>
      </c>
      <c r="E185" t="s">
        <v>61</v>
      </c>
      <c r="F185" s="14" t="s">
        <v>997</v>
      </c>
      <c r="G185" t="s">
        <v>1052</v>
      </c>
      <c r="H185" s="23">
        <v>32</v>
      </c>
      <c r="I185" s="14" t="str">
        <f>TEXT(Tabelle2[[#This Row],[category]],"00")&amp;TEXT(Tabelle2[[#This Row],[internal_order]],"00")</f>
        <v>1032</v>
      </c>
      <c r="J185" s="15">
        <v>2</v>
      </c>
      <c r="K185" s="15">
        <f>Tabelle2[[#This Row],[propertyID]]</f>
        <v>183</v>
      </c>
      <c r="L185" s="15">
        <v>9.9999999999999995E-8</v>
      </c>
      <c r="M185" s="15" t="s">
        <v>272</v>
      </c>
      <c r="O185" s="14">
        <v>1</v>
      </c>
      <c r="P185" s="14">
        <f>Tabelle2[[#This Row],[propertyID]]</f>
        <v>183</v>
      </c>
      <c r="Q185" s="14">
        <v>9.9999999999999995E-8</v>
      </c>
      <c r="R185" s="14" t="s">
        <v>272</v>
      </c>
      <c r="S185" t="s">
        <v>944</v>
      </c>
      <c r="T185" s="14"/>
      <c r="U185" s="14"/>
      <c r="V185" s="14"/>
      <c r="W185" s="14">
        <v>0</v>
      </c>
      <c r="X185" s="14"/>
    </row>
    <row r="186" spans="1:24" x14ac:dyDescent="0.25">
      <c r="A186">
        <v>184</v>
      </c>
      <c r="B186">
        <v>11</v>
      </c>
      <c r="C186" t="s">
        <v>427</v>
      </c>
      <c r="D186" t="s">
        <v>760</v>
      </c>
      <c r="E186" t="s">
        <v>326</v>
      </c>
      <c r="F186" s="14" t="s">
        <v>924</v>
      </c>
      <c r="G186" t="s">
        <v>1052</v>
      </c>
      <c r="H186" s="23">
        <v>1</v>
      </c>
      <c r="I186" s="14" t="str">
        <f>TEXT(Tabelle2[[#This Row],[category]],"00")&amp;TEXT(Tabelle2[[#This Row],[internal_order]],"00")</f>
        <v>1101</v>
      </c>
      <c r="J186" s="15">
        <v>2</v>
      </c>
      <c r="K186" s="15">
        <f>Tabelle2[[#This Row],[propertyID]]</f>
        <v>184</v>
      </c>
      <c r="L186" s="15">
        <v>0.219</v>
      </c>
      <c r="M186" s="15" t="s">
        <v>1301</v>
      </c>
      <c r="N186" t="s">
        <v>1230</v>
      </c>
      <c r="O186" s="14">
        <v>1</v>
      </c>
      <c r="P186" s="14">
        <f>Tabelle2[[#This Row],[propertyID]]</f>
        <v>184</v>
      </c>
      <c r="Q186" s="14">
        <v>0.46</v>
      </c>
      <c r="R186" s="14" t="s">
        <v>428</v>
      </c>
      <c r="S186" t="s">
        <v>945</v>
      </c>
      <c r="T186" s="14"/>
      <c r="U186" s="14"/>
      <c r="V186" s="14"/>
      <c r="W186" s="14">
        <v>-100</v>
      </c>
      <c r="X186" s="14"/>
    </row>
    <row r="187" spans="1:24" x14ac:dyDescent="0.25">
      <c r="A187">
        <v>185</v>
      </c>
      <c r="B187">
        <v>11</v>
      </c>
      <c r="C187" t="s">
        <v>1224</v>
      </c>
      <c r="D187" t="s">
        <v>1227</v>
      </c>
      <c r="E187" t="s">
        <v>26</v>
      </c>
      <c r="F187" s="14" t="s">
        <v>26</v>
      </c>
      <c r="G187" t="s">
        <v>1052</v>
      </c>
      <c r="H187" s="23">
        <v>2</v>
      </c>
      <c r="I187" s="14" t="str">
        <f>TEXT(Tabelle2[[#This Row],[category]],"00")&amp;TEXT(Tabelle2[[#This Row],[internal_order]],"00")</f>
        <v>1102</v>
      </c>
      <c r="J187" s="15">
        <v>2</v>
      </c>
      <c r="K187" s="15">
        <f>Tabelle2[[#This Row],[propertyID]]</f>
        <v>185</v>
      </c>
      <c r="L187" s="15">
        <v>0.72350000000000003</v>
      </c>
      <c r="M187" s="15" t="s">
        <v>1323</v>
      </c>
      <c r="N187" t="s">
        <v>1324</v>
      </c>
      <c r="O187" s="14">
        <v>1</v>
      </c>
      <c r="P187" s="14">
        <f>Tabelle2[[#This Row],[propertyID]]</f>
        <v>185</v>
      </c>
      <c r="Q187" s="14">
        <v>0.21920999999999999</v>
      </c>
      <c r="R187" s="14" t="s">
        <v>476</v>
      </c>
      <c r="S187" t="s">
        <v>945</v>
      </c>
      <c r="T187" s="14"/>
      <c r="U187" s="14"/>
      <c r="V187" s="14"/>
      <c r="W187" s="14">
        <v>0</v>
      </c>
      <c r="X187" s="14"/>
    </row>
    <row r="188" spans="1:24" x14ac:dyDescent="0.25">
      <c r="A188">
        <v>186</v>
      </c>
      <c r="B188">
        <v>11</v>
      </c>
      <c r="C188" t="s">
        <v>453</v>
      </c>
      <c r="D188" t="s">
        <v>764</v>
      </c>
      <c r="E188" t="s">
        <v>26</v>
      </c>
      <c r="F188" s="14" t="s">
        <v>26</v>
      </c>
      <c r="G188" t="s">
        <v>1052</v>
      </c>
      <c r="H188" s="23">
        <v>3</v>
      </c>
      <c r="I188" s="14" t="str">
        <f>TEXT(Tabelle2[[#This Row],[category]],"00")&amp;TEXT(Tabelle2[[#This Row],[internal_order]],"00")</f>
        <v>1103</v>
      </c>
      <c r="J188" s="15">
        <v>2</v>
      </c>
      <c r="K188" s="15">
        <f>Tabelle2[[#This Row],[propertyID]]</f>
        <v>186</v>
      </c>
      <c r="L188" s="15">
        <v>0.67</v>
      </c>
      <c r="M188" s="15" t="s">
        <v>1104</v>
      </c>
      <c r="N188" t="s">
        <v>1230</v>
      </c>
      <c r="O188" s="14">
        <v>1</v>
      </c>
      <c r="P188" s="14">
        <f>Tabelle2[[#This Row],[propertyID]]</f>
        <v>186</v>
      </c>
      <c r="Q188" s="14">
        <v>0.55300000000000005</v>
      </c>
      <c r="R188" s="14" t="s">
        <v>454</v>
      </c>
      <c r="S188" t="s">
        <v>945</v>
      </c>
      <c r="T188" s="14"/>
      <c r="U188" s="14"/>
      <c r="V188" s="14"/>
      <c r="W188" s="14">
        <v>0</v>
      </c>
      <c r="X188" s="14"/>
    </row>
    <row r="189" spans="1:24" x14ac:dyDescent="0.25">
      <c r="A189">
        <v>187</v>
      </c>
      <c r="B189">
        <v>11</v>
      </c>
      <c r="C189" t="s">
        <v>1303</v>
      </c>
      <c r="D189" t="s">
        <v>779</v>
      </c>
      <c r="E189" t="s">
        <v>26</v>
      </c>
      <c r="F189" s="14" t="s">
        <v>26</v>
      </c>
      <c r="G189" t="s">
        <v>1052</v>
      </c>
      <c r="H189" s="23">
        <v>4</v>
      </c>
      <c r="I189" s="14" t="str">
        <f>TEXT(Tabelle2[[#This Row],[category]],"00")&amp;TEXT(Tabelle2[[#This Row],[internal_order]],"00")</f>
        <v>1104</v>
      </c>
      <c r="J189" s="15">
        <v>2</v>
      </c>
      <c r="K189" s="15">
        <f>Tabelle2[[#This Row],[propertyID]]</f>
        <v>187</v>
      </c>
      <c r="L189" s="15">
        <v>0</v>
      </c>
      <c r="M189" s="15" t="s">
        <v>1316</v>
      </c>
      <c r="O189" s="14">
        <v>1</v>
      </c>
      <c r="P189" s="14">
        <f>Tabelle2[[#This Row],[propertyID]]</f>
        <v>187</v>
      </c>
      <c r="Q189" s="14">
        <v>0.2</v>
      </c>
      <c r="R189" s="14" t="s">
        <v>462</v>
      </c>
      <c r="S189" t="s">
        <v>945</v>
      </c>
      <c r="T189" s="14"/>
      <c r="U189" s="14"/>
      <c r="V189" s="14"/>
      <c r="W189" s="14">
        <v>0</v>
      </c>
      <c r="X189" s="14"/>
    </row>
    <row r="190" spans="1:24" x14ac:dyDescent="0.25">
      <c r="A190">
        <v>188</v>
      </c>
      <c r="B190">
        <v>11</v>
      </c>
      <c r="C190" t="s">
        <v>435</v>
      </c>
      <c r="D190" t="s">
        <v>768</v>
      </c>
      <c r="E190" t="s">
        <v>326</v>
      </c>
      <c r="F190" s="14" t="s">
        <v>924</v>
      </c>
      <c r="G190" t="s">
        <v>1052</v>
      </c>
      <c r="H190" s="23">
        <v>5</v>
      </c>
      <c r="I190" s="14" t="str">
        <f>TEXT(Tabelle2[[#This Row],[category]],"00")&amp;TEXT(Tabelle2[[#This Row],[internal_order]],"00")</f>
        <v>1105</v>
      </c>
      <c r="J190" s="15">
        <v>2</v>
      </c>
      <c r="K190" s="15">
        <f>Tabelle2[[#This Row],[propertyID]]</f>
        <v>188</v>
      </c>
      <c r="L190" s="15">
        <v>2.6800000000000001E-2</v>
      </c>
      <c r="M190" s="15" t="s">
        <v>1103</v>
      </c>
      <c r="N190" t="s">
        <v>1230</v>
      </c>
      <c r="O190" s="14">
        <v>1</v>
      </c>
      <c r="P190" s="14">
        <f>Tabelle2[[#This Row],[propertyID]]</f>
        <v>188</v>
      </c>
      <c r="Q190" s="14">
        <v>0.06</v>
      </c>
      <c r="R190" s="14" t="s">
        <v>436</v>
      </c>
      <c r="S190" t="s">
        <v>945</v>
      </c>
      <c r="T190" s="14"/>
      <c r="U190" s="14"/>
      <c r="V190" s="14"/>
      <c r="W190" s="14">
        <v>0</v>
      </c>
      <c r="X190" s="14"/>
    </row>
    <row r="191" spans="1:24" x14ac:dyDescent="0.25">
      <c r="A191">
        <v>189</v>
      </c>
      <c r="B191">
        <v>11</v>
      </c>
      <c r="C191" t="s">
        <v>437</v>
      </c>
      <c r="D191" t="s">
        <v>771</v>
      </c>
      <c r="E191" t="s">
        <v>41</v>
      </c>
      <c r="F191" s="14" t="s">
        <v>922</v>
      </c>
      <c r="G191" t="s">
        <v>1052</v>
      </c>
      <c r="H191" s="23">
        <v>6</v>
      </c>
      <c r="I191" s="14" t="str">
        <f>TEXT(Tabelle2[[#This Row],[category]],"00")&amp;TEXT(Tabelle2[[#This Row],[internal_order]],"00")</f>
        <v>1106</v>
      </c>
      <c r="J191" s="15">
        <v>2</v>
      </c>
      <c r="K191" s="15">
        <f>Tabelle2[[#This Row],[propertyID]]</f>
        <v>189</v>
      </c>
      <c r="L191" s="15">
        <v>1.3270000000000001E-2</v>
      </c>
      <c r="M191" s="15" t="s">
        <v>440</v>
      </c>
      <c r="N191" t="s">
        <v>1230</v>
      </c>
      <c r="O191" s="14">
        <v>1</v>
      </c>
      <c r="P191" s="14">
        <f>Tabelle2[[#This Row],[propertyID]]</f>
        <v>189</v>
      </c>
      <c r="Q191" s="14">
        <v>0.04</v>
      </c>
      <c r="R191" s="14" t="s">
        <v>438</v>
      </c>
      <c r="S191" t="s">
        <v>945</v>
      </c>
      <c r="T191" s="14"/>
      <c r="U191" s="14"/>
      <c r="V191" s="14"/>
      <c r="W191" s="14">
        <v>0</v>
      </c>
      <c r="X191" s="14"/>
    </row>
    <row r="192" spans="1:24" x14ac:dyDescent="0.25">
      <c r="A192">
        <v>190</v>
      </c>
      <c r="B192">
        <v>11</v>
      </c>
      <c r="C192" t="s">
        <v>443</v>
      </c>
      <c r="D192" t="s">
        <v>774</v>
      </c>
      <c r="E192" t="s">
        <v>41</v>
      </c>
      <c r="F192" s="14" t="s">
        <v>922</v>
      </c>
      <c r="G192" t="s">
        <v>1052</v>
      </c>
      <c r="H192" s="23">
        <v>7</v>
      </c>
      <c r="I192" s="14" t="str">
        <f>TEXT(Tabelle2[[#This Row],[category]],"00")&amp;TEXT(Tabelle2[[#This Row],[internal_order]],"00")</f>
        <v>1107</v>
      </c>
      <c r="J192" s="15">
        <v>2</v>
      </c>
      <c r="K192" s="15">
        <f>Tabelle2[[#This Row],[propertyID]]</f>
        <v>190</v>
      </c>
      <c r="L192" s="15">
        <v>1.2330000000000001E-2</v>
      </c>
      <c r="M192" s="15" t="s">
        <v>1258</v>
      </c>
      <c r="N192" t="s">
        <v>1230</v>
      </c>
      <c r="O192" s="14">
        <v>1</v>
      </c>
      <c r="P192" s="14">
        <f>Tabelle2[[#This Row],[propertyID]]</f>
        <v>190</v>
      </c>
      <c r="Q192" s="14">
        <v>1.8E-3</v>
      </c>
      <c r="R192" s="14" t="s">
        <v>444</v>
      </c>
      <c r="S192" t="s">
        <v>945</v>
      </c>
      <c r="T192" s="14"/>
      <c r="U192" s="14"/>
      <c r="V192" s="14"/>
      <c r="W192" s="14">
        <v>0</v>
      </c>
      <c r="X192" s="14"/>
    </row>
    <row r="193" spans="1:24" x14ac:dyDescent="0.25">
      <c r="A193">
        <v>191</v>
      </c>
      <c r="B193">
        <v>11</v>
      </c>
      <c r="C193" t="s">
        <v>429</v>
      </c>
      <c r="D193" t="s">
        <v>761</v>
      </c>
      <c r="E193" t="s">
        <v>326</v>
      </c>
      <c r="F193" s="14" t="s">
        <v>924</v>
      </c>
      <c r="G193" t="s">
        <v>1052</v>
      </c>
      <c r="H193" s="23">
        <v>8</v>
      </c>
      <c r="I193" s="14" t="str">
        <f>TEXT(Tabelle2[[#This Row],[category]],"00")&amp;TEXT(Tabelle2[[#This Row],[internal_order]],"00")</f>
        <v>1108</v>
      </c>
      <c r="J193" s="15">
        <v>2</v>
      </c>
      <c r="K193" s="15">
        <f>Tabelle2[[#This Row],[propertyID]]</f>
        <v>191</v>
      </c>
      <c r="L193" s="15">
        <v>0.1</v>
      </c>
      <c r="M193" s="15" t="s">
        <v>1590</v>
      </c>
      <c r="O193" s="14">
        <v>1</v>
      </c>
      <c r="P193" s="14">
        <f>Tabelle2[[#This Row],[propertyID]]</f>
        <v>191</v>
      </c>
      <c r="Q193" s="14">
        <v>0.35</v>
      </c>
      <c r="R193" s="14" t="s">
        <v>430</v>
      </c>
      <c r="S193" t="s">
        <v>945</v>
      </c>
      <c r="T193" s="14"/>
      <c r="U193" s="14"/>
      <c r="V193" s="14"/>
      <c r="W193" s="14">
        <v>-100</v>
      </c>
      <c r="X193" s="14"/>
    </row>
    <row r="194" spans="1:24" x14ac:dyDescent="0.25">
      <c r="A194">
        <v>192</v>
      </c>
      <c r="B194">
        <v>11</v>
      </c>
      <c r="C194" t="s">
        <v>1225</v>
      </c>
      <c r="D194" t="s">
        <v>1228</v>
      </c>
      <c r="E194" t="s">
        <v>26</v>
      </c>
      <c r="F194" s="14" t="s">
        <v>26</v>
      </c>
      <c r="G194" t="s">
        <v>1052</v>
      </c>
      <c r="H194" s="23">
        <v>9</v>
      </c>
      <c r="I194" s="14" t="str">
        <f>TEXT(Tabelle2[[#This Row],[category]],"00")&amp;TEXT(Tabelle2[[#This Row],[internal_order]],"00")</f>
        <v>1109</v>
      </c>
      <c r="J194" s="15">
        <v>2</v>
      </c>
      <c r="K194" s="15">
        <f>Tabelle2[[#This Row],[propertyID]]</f>
        <v>192</v>
      </c>
      <c r="L194" s="15">
        <v>0.27710000000000001</v>
      </c>
      <c r="M194" s="15" t="s">
        <v>1322</v>
      </c>
      <c r="O194" s="14"/>
      <c r="P194" s="14">
        <f>Tabelle2[[#This Row],[propertyID]]</f>
        <v>192</v>
      </c>
      <c r="Q194" s="14"/>
      <c r="R194" s="14"/>
      <c r="T194" s="14"/>
      <c r="U194" s="14"/>
      <c r="V194" s="14"/>
      <c r="W194" s="14">
        <v>0</v>
      </c>
      <c r="X194" s="14"/>
    </row>
    <row r="195" spans="1:24" x14ac:dyDescent="0.25">
      <c r="A195">
        <v>193</v>
      </c>
      <c r="B195">
        <v>11</v>
      </c>
      <c r="C195" t="s">
        <v>455</v>
      </c>
      <c r="D195" t="s">
        <v>765</v>
      </c>
      <c r="E195" t="s">
        <v>26</v>
      </c>
      <c r="F195" s="14" t="s">
        <v>26</v>
      </c>
      <c r="G195" t="s">
        <v>1052</v>
      </c>
      <c r="H195" s="23">
        <v>10</v>
      </c>
      <c r="I195" s="14" t="str">
        <f>TEXT(Tabelle2[[#This Row],[category]],"00")&amp;TEXT(Tabelle2[[#This Row],[internal_order]],"00")</f>
        <v>1110</v>
      </c>
      <c r="J195" s="15">
        <v>2</v>
      </c>
      <c r="K195" s="15">
        <f>Tabelle2[[#This Row],[propertyID]]</f>
        <v>193</v>
      </c>
      <c r="L195" s="15">
        <v>0.2</v>
      </c>
      <c r="M195" s="15" t="s">
        <v>1325</v>
      </c>
      <c r="N195" t="s">
        <v>1329</v>
      </c>
      <c r="O195" s="14">
        <v>1</v>
      </c>
      <c r="P195" s="14">
        <f>Tabelle2[[#This Row],[propertyID]]</f>
        <v>193</v>
      </c>
      <c r="Q195" s="14">
        <v>0.4</v>
      </c>
      <c r="R195" s="14" t="s">
        <v>456</v>
      </c>
      <c r="S195" t="s">
        <v>945</v>
      </c>
      <c r="T195" s="14"/>
      <c r="U195" s="14"/>
      <c r="V195" s="14"/>
      <c r="W195" s="14">
        <v>0</v>
      </c>
      <c r="X195" s="14"/>
    </row>
    <row r="196" spans="1:24" x14ac:dyDescent="0.25">
      <c r="A196">
        <v>194</v>
      </c>
      <c r="B196">
        <v>11</v>
      </c>
      <c r="C196" t="s">
        <v>1304</v>
      </c>
      <c r="D196" t="s">
        <v>780</v>
      </c>
      <c r="E196" t="s">
        <v>26</v>
      </c>
      <c r="F196" s="14" t="s">
        <v>26</v>
      </c>
      <c r="G196" t="s">
        <v>1052</v>
      </c>
      <c r="H196" s="23">
        <v>11</v>
      </c>
      <c r="I196" s="14" t="str">
        <f>TEXT(Tabelle2[[#This Row],[category]],"00")&amp;TEXT(Tabelle2[[#This Row],[internal_order]],"00")</f>
        <v>1111</v>
      </c>
      <c r="J196" s="15"/>
      <c r="K196" s="15">
        <f>Tabelle2[[#This Row],[propertyID]]</f>
        <v>194</v>
      </c>
      <c r="L196" s="15"/>
      <c r="M196" s="15" t="s">
        <v>1317</v>
      </c>
      <c r="O196" s="14">
        <v>1</v>
      </c>
      <c r="P196" s="14">
        <f>Tabelle2[[#This Row],[propertyID]]</f>
        <v>194</v>
      </c>
      <c r="Q196" s="14">
        <v>0.1</v>
      </c>
      <c r="R196" s="14" t="s">
        <v>464</v>
      </c>
      <c r="S196" t="s">
        <v>945</v>
      </c>
      <c r="T196" s="14"/>
      <c r="U196" s="14"/>
      <c r="V196" s="14"/>
      <c r="W196" s="14">
        <v>0</v>
      </c>
      <c r="X196" s="14"/>
    </row>
    <row r="197" spans="1:24" x14ac:dyDescent="0.25">
      <c r="A197">
        <v>195</v>
      </c>
      <c r="B197">
        <v>11</v>
      </c>
      <c r="C197" t="s">
        <v>1063</v>
      </c>
      <c r="D197" t="s">
        <v>1077</v>
      </c>
      <c r="E197" t="s">
        <v>326</v>
      </c>
      <c r="F197" s="14" t="s">
        <v>924</v>
      </c>
      <c r="G197" t="s">
        <v>1052</v>
      </c>
      <c r="H197" s="23">
        <v>12</v>
      </c>
      <c r="I197" s="14" t="str">
        <f>TEXT(Tabelle2[[#This Row],[category]],"00")&amp;TEXT(Tabelle2[[#This Row],[internal_order]],"00")</f>
        <v>1112</v>
      </c>
      <c r="J197" s="15">
        <v>2</v>
      </c>
      <c r="K197" s="15">
        <f>Tabelle2[[#This Row],[propertyID]]</f>
        <v>195</v>
      </c>
      <c r="L197" s="15">
        <v>0.02</v>
      </c>
      <c r="M197" s="15" t="s">
        <v>1315</v>
      </c>
      <c r="N197" t="s">
        <v>1329</v>
      </c>
      <c r="O197" s="14"/>
      <c r="P197" s="14">
        <f>Tabelle2[[#This Row],[propertyID]]</f>
        <v>195</v>
      </c>
      <c r="Q197" s="14"/>
      <c r="R197" s="14"/>
      <c r="S197" t="s">
        <v>945</v>
      </c>
      <c r="T197" s="14"/>
      <c r="U197" s="14"/>
      <c r="V197" s="14"/>
      <c r="W197" s="14">
        <v>0</v>
      </c>
      <c r="X197" s="14"/>
    </row>
    <row r="198" spans="1:24" x14ac:dyDescent="0.25">
      <c r="A198">
        <v>196</v>
      </c>
      <c r="B198">
        <v>11</v>
      </c>
      <c r="C198" t="s">
        <v>439</v>
      </c>
      <c r="D198" t="s">
        <v>772</v>
      </c>
      <c r="E198" t="s">
        <v>41</v>
      </c>
      <c r="F198" s="14" t="s">
        <v>922</v>
      </c>
      <c r="G198" t="s">
        <v>1052</v>
      </c>
      <c r="H198" s="23">
        <v>13</v>
      </c>
      <c r="I198" s="14" t="str">
        <f>TEXT(Tabelle2[[#This Row],[category]],"00")&amp;TEXT(Tabelle2[[#This Row],[internal_order]],"00")</f>
        <v>1113</v>
      </c>
      <c r="J198" s="15">
        <v>2</v>
      </c>
      <c r="K198" s="15">
        <f>Tabelle2[[#This Row],[propertyID]]</f>
        <v>196</v>
      </c>
      <c r="L198" s="15">
        <v>0.7429</v>
      </c>
      <c r="M198" s="15" t="s">
        <v>1259</v>
      </c>
      <c r="N198" t="s">
        <v>1230</v>
      </c>
      <c r="O198" s="14">
        <v>1</v>
      </c>
      <c r="P198" s="14">
        <f>Tabelle2[[#This Row],[propertyID]]</f>
        <v>196</v>
      </c>
      <c r="Q198" s="14">
        <v>0.05</v>
      </c>
      <c r="R198" s="14" t="s">
        <v>440</v>
      </c>
      <c r="S198" t="s">
        <v>945</v>
      </c>
      <c r="T198" s="14"/>
      <c r="U198" s="14"/>
      <c r="V198" s="14"/>
      <c r="W198" s="14">
        <v>0</v>
      </c>
      <c r="X198" s="14"/>
    </row>
    <row r="199" spans="1:24" x14ac:dyDescent="0.25">
      <c r="A199">
        <v>197</v>
      </c>
      <c r="B199">
        <v>11</v>
      </c>
      <c r="C199" t="s">
        <v>431</v>
      </c>
      <c r="D199" t="s">
        <v>762</v>
      </c>
      <c r="E199" t="s">
        <v>326</v>
      </c>
      <c r="F199" s="14" t="s">
        <v>924</v>
      </c>
      <c r="G199" t="s">
        <v>1052</v>
      </c>
      <c r="H199" s="23">
        <v>14</v>
      </c>
      <c r="I199" s="14" t="str">
        <f>TEXT(Tabelle2[[#This Row],[category]],"00")&amp;TEXT(Tabelle2[[#This Row],[internal_order]],"00")</f>
        <v>1114</v>
      </c>
      <c r="J199" s="15"/>
      <c r="K199" s="15">
        <f>Tabelle2[[#This Row],[propertyID]]</f>
        <v>197</v>
      </c>
      <c r="L199" s="15"/>
      <c r="M199" s="15"/>
      <c r="O199" s="14">
        <v>1</v>
      </c>
      <c r="P199" s="14">
        <f>Tabelle2[[#This Row],[propertyID]]</f>
        <v>197</v>
      </c>
      <c r="Q199" s="14">
        <v>0.1</v>
      </c>
      <c r="R199" s="14" t="s">
        <v>432</v>
      </c>
      <c r="S199" t="s">
        <v>945</v>
      </c>
      <c r="T199" s="14"/>
      <c r="U199" s="14"/>
      <c r="V199" s="14"/>
      <c r="W199" s="14">
        <v>-100</v>
      </c>
      <c r="X199" s="14"/>
    </row>
    <row r="200" spans="1:24" x14ac:dyDescent="0.25">
      <c r="A200">
        <v>198</v>
      </c>
      <c r="B200">
        <v>11</v>
      </c>
      <c r="C200" t="s">
        <v>1226</v>
      </c>
      <c r="D200" t="s">
        <v>1229</v>
      </c>
      <c r="E200" t="s">
        <v>26</v>
      </c>
      <c r="F200" s="14" t="s">
        <v>26</v>
      </c>
      <c r="G200" t="s">
        <v>1052</v>
      </c>
      <c r="H200" s="23">
        <v>15</v>
      </c>
      <c r="I200" s="14" t="str">
        <f>TEXT(Tabelle2[[#This Row],[category]],"00")&amp;TEXT(Tabelle2[[#This Row],[internal_order]],"00")</f>
        <v>1115</v>
      </c>
      <c r="J200" s="15"/>
      <c r="K200" s="15">
        <f>Tabelle2[[#This Row],[propertyID]]</f>
        <v>198</v>
      </c>
      <c r="L200" s="15"/>
      <c r="M200" s="15"/>
      <c r="O200" s="14"/>
      <c r="P200" s="14">
        <f>Tabelle2[[#This Row],[propertyID]]</f>
        <v>198</v>
      </c>
      <c r="Q200" s="14"/>
      <c r="R200" s="14"/>
      <c r="T200" s="14"/>
      <c r="U200" s="14"/>
      <c r="V200" s="14"/>
      <c r="W200" s="14">
        <v>0</v>
      </c>
      <c r="X200" s="14"/>
    </row>
    <row r="201" spans="1:24" x14ac:dyDescent="0.25">
      <c r="A201">
        <v>199</v>
      </c>
      <c r="B201">
        <v>11</v>
      </c>
      <c r="C201" t="s">
        <v>457</v>
      </c>
      <c r="D201" t="s">
        <v>766</v>
      </c>
      <c r="E201" t="s">
        <v>26</v>
      </c>
      <c r="F201" s="14" t="s">
        <v>26</v>
      </c>
      <c r="G201" t="s">
        <v>1052</v>
      </c>
      <c r="H201" s="23">
        <v>16</v>
      </c>
      <c r="I201" s="14" t="str">
        <f>TEXT(Tabelle2[[#This Row],[category]],"00")&amp;TEXT(Tabelle2[[#This Row],[internal_order]],"00")</f>
        <v>1116</v>
      </c>
      <c r="J201" s="15"/>
      <c r="K201" s="15">
        <f>Tabelle2[[#This Row],[propertyID]]</f>
        <v>199</v>
      </c>
      <c r="L201" s="15"/>
      <c r="M201" s="15"/>
      <c r="O201" s="14">
        <v>1</v>
      </c>
      <c r="P201" s="14">
        <f>Tabelle2[[#This Row],[propertyID]]</f>
        <v>199</v>
      </c>
      <c r="Q201" s="14">
        <v>0.2</v>
      </c>
      <c r="R201" s="14" t="s">
        <v>458</v>
      </c>
      <c r="S201" t="s">
        <v>945</v>
      </c>
      <c r="T201" s="14"/>
      <c r="U201" s="14"/>
      <c r="V201" s="14"/>
      <c r="W201" s="14">
        <v>0</v>
      </c>
      <c r="X201" s="14"/>
    </row>
    <row r="202" spans="1:24" x14ac:dyDescent="0.25">
      <c r="A202">
        <v>200</v>
      </c>
      <c r="B202">
        <v>11</v>
      </c>
      <c r="C202" t="s">
        <v>1305</v>
      </c>
      <c r="D202" t="s">
        <v>781</v>
      </c>
      <c r="E202" t="s">
        <v>26</v>
      </c>
      <c r="F202" s="14" t="s">
        <v>26</v>
      </c>
      <c r="G202" t="s">
        <v>1052</v>
      </c>
      <c r="H202" s="23">
        <v>17</v>
      </c>
      <c r="I202" s="14" t="str">
        <f>TEXT(Tabelle2[[#This Row],[category]],"00")&amp;TEXT(Tabelle2[[#This Row],[internal_order]],"00")</f>
        <v>1117</v>
      </c>
      <c r="J202" s="15"/>
      <c r="K202" s="15">
        <f>Tabelle2[[#This Row],[propertyID]]</f>
        <v>200</v>
      </c>
      <c r="L202" s="15"/>
      <c r="M202" s="15"/>
      <c r="O202" s="14">
        <v>1</v>
      </c>
      <c r="P202" s="14">
        <f>Tabelle2[[#This Row],[propertyID]]</f>
        <v>200</v>
      </c>
      <c r="Q202" s="14">
        <v>1</v>
      </c>
      <c r="R202" s="14" t="s">
        <v>466</v>
      </c>
      <c r="S202" t="s">
        <v>945</v>
      </c>
      <c r="T202" s="14"/>
      <c r="U202" s="14"/>
      <c r="V202" s="14"/>
      <c r="W202" s="14">
        <v>0</v>
      </c>
      <c r="X202" s="14"/>
    </row>
    <row r="203" spans="1:24" x14ac:dyDescent="0.25">
      <c r="A203">
        <v>201</v>
      </c>
      <c r="B203">
        <v>11</v>
      </c>
      <c r="C203" t="s">
        <v>1064</v>
      </c>
      <c r="D203" t="s">
        <v>1531</v>
      </c>
      <c r="E203" t="s">
        <v>326</v>
      </c>
      <c r="F203" s="14" t="s">
        <v>924</v>
      </c>
      <c r="G203" t="s">
        <v>1052</v>
      </c>
      <c r="H203" s="23">
        <v>18</v>
      </c>
      <c r="I203" s="14" t="str">
        <f>TEXT(Tabelle2[[#This Row],[category]],"00")&amp;TEXT(Tabelle2[[#This Row],[internal_order]],"00")</f>
        <v>1118</v>
      </c>
      <c r="J203" s="15"/>
      <c r="K203" s="15">
        <f>Tabelle2[[#This Row],[propertyID]]</f>
        <v>201</v>
      </c>
      <c r="L203" s="15"/>
      <c r="M203" s="15"/>
      <c r="O203" s="14"/>
      <c r="P203" s="14">
        <f>Tabelle2[[#This Row],[propertyID]]</f>
        <v>201</v>
      </c>
      <c r="Q203" s="14"/>
      <c r="R203" s="14"/>
      <c r="S203" t="s">
        <v>945</v>
      </c>
      <c r="T203" s="14"/>
      <c r="U203" s="14"/>
      <c r="V203" s="14"/>
      <c r="W203" s="14">
        <v>0</v>
      </c>
      <c r="X203" s="14"/>
    </row>
    <row r="204" spans="1:24" x14ac:dyDescent="0.25">
      <c r="A204">
        <v>202</v>
      </c>
      <c r="B204">
        <v>11</v>
      </c>
      <c r="C204" t="s">
        <v>441</v>
      </c>
      <c r="D204" t="s">
        <v>773</v>
      </c>
      <c r="E204" t="s">
        <v>41</v>
      </c>
      <c r="F204" s="14" t="s">
        <v>922</v>
      </c>
      <c r="G204" t="s">
        <v>1052</v>
      </c>
      <c r="H204" s="23">
        <v>19</v>
      </c>
      <c r="I204" s="14" t="str">
        <f>TEXT(Tabelle2[[#This Row],[category]],"00")&amp;TEXT(Tabelle2[[#This Row],[internal_order]],"00")</f>
        <v>1119</v>
      </c>
      <c r="J204" s="15"/>
      <c r="K204" s="15">
        <f>Tabelle2[[#This Row],[propertyID]]</f>
        <v>202</v>
      </c>
      <c r="L204" s="15"/>
      <c r="M204" s="15"/>
      <c r="O204" s="14">
        <v>1</v>
      </c>
      <c r="P204" s="14">
        <f>Tabelle2[[#This Row],[propertyID]]</f>
        <v>202</v>
      </c>
      <c r="Q204" s="14">
        <v>0.06</v>
      </c>
      <c r="R204" s="14" t="s">
        <v>442</v>
      </c>
      <c r="S204" t="s">
        <v>945</v>
      </c>
      <c r="T204" s="14"/>
      <c r="U204" s="14"/>
      <c r="V204" s="14"/>
      <c r="W204" s="14">
        <v>0</v>
      </c>
      <c r="X204" s="14"/>
    </row>
    <row r="205" spans="1:24" x14ac:dyDescent="0.25">
      <c r="A205">
        <v>203</v>
      </c>
      <c r="B205">
        <v>11</v>
      </c>
      <c r="C205" t="s">
        <v>445</v>
      </c>
      <c r="D205" t="s">
        <v>775</v>
      </c>
      <c r="E205" t="s">
        <v>41</v>
      </c>
      <c r="F205" s="14" t="s">
        <v>922</v>
      </c>
      <c r="G205" t="s">
        <v>1052</v>
      </c>
      <c r="H205" s="23">
        <v>20</v>
      </c>
      <c r="I205" s="14" t="str">
        <f>TEXT(Tabelle2[[#This Row],[category]],"00")&amp;TEXT(Tabelle2[[#This Row],[internal_order]],"00")</f>
        <v>1120</v>
      </c>
      <c r="J205" s="15"/>
      <c r="K205" s="15">
        <f>Tabelle2[[#This Row],[propertyID]]</f>
        <v>203</v>
      </c>
      <c r="L205" s="15"/>
      <c r="M205" s="15"/>
      <c r="O205" s="14">
        <v>1</v>
      </c>
      <c r="P205" s="14">
        <f>Tabelle2[[#This Row],[propertyID]]</f>
        <v>203</v>
      </c>
      <c r="Q205" s="14">
        <v>1.8E-3</v>
      </c>
      <c r="R205" s="14" t="s">
        <v>446</v>
      </c>
      <c r="S205" t="s">
        <v>945</v>
      </c>
      <c r="T205" s="14"/>
      <c r="U205" s="14"/>
      <c r="V205" s="14"/>
      <c r="W205" s="14">
        <v>0</v>
      </c>
      <c r="X205" s="14"/>
    </row>
    <row r="206" spans="1:24" x14ac:dyDescent="0.25">
      <c r="A206">
        <v>204</v>
      </c>
      <c r="B206">
        <v>11</v>
      </c>
      <c r="C206" t="s">
        <v>447</v>
      </c>
      <c r="D206" t="s">
        <v>776</v>
      </c>
      <c r="E206" t="s">
        <v>41</v>
      </c>
      <c r="F206" s="14" t="s">
        <v>922</v>
      </c>
      <c r="G206" t="s">
        <v>1052</v>
      </c>
      <c r="H206" s="23">
        <v>21</v>
      </c>
      <c r="I206" s="14" t="str">
        <f>TEXT(Tabelle2[[#This Row],[category]],"00")&amp;TEXT(Tabelle2[[#This Row],[internal_order]],"00")</f>
        <v>1121</v>
      </c>
      <c r="J206" s="15"/>
      <c r="K206" s="15">
        <f>Tabelle2[[#This Row],[propertyID]]</f>
        <v>204</v>
      </c>
      <c r="L206" s="15"/>
      <c r="M206" s="15"/>
      <c r="O206" s="14">
        <v>1</v>
      </c>
      <c r="P206" s="14">
        <f>Tabelle2[[#This Row],[propertyID]]</f>
        <v>204</v>
      </c>
      <c r="Q206" s="14">
        <v>3.0000000000000001E-3</v>
      </c>
      <c r="R206" s="14" t="s">
        <v>448</v>
      </c>
      <c r="S206" t="s">
        <v>945</v>
      </c>
      <c r="T206" s="14"/>
      <c r="U206" s="14"/>
      <c r="V206" s="14"/>
      <c r="W206" s="14">
        <v>0</v>
      </c>
      <c r="X206" s="14"/>
    </row>
    <row r="207" spans="1:24" x14ac:dyDescent="0.25">
      <c r="A207">
        <v>205</v>
      </c>
      <c r="B207">
        <v>11</v>
      </c>
      <c r="C207" t="s">
        <v>477</v>
      </c>
      <c r="D207" t="s">
        <v>784</v>
      </c>
      <c r="E207" t="s">
        <v>26</v>
      </c>
      <c r="F207" s="14" t="s">
        <v>26</v>
      </c>
      <c r="G207" t="s">
        <v>1052</v>
      </c>
      <c r="H207" s="23">
        <v>22</v>
      </c>
      <c r="I207" s="14" t="str">
        <f>TEXT(Tabelle2[[#This Row],[category]],"00")&amp;TEXT(Tabelle2[[#This Row],[internal_order]],"00")</f>
        <v>1122</v>
      </c>
      <c r="J207" s="15"/>
      <c r="K207" s="15">
        <f>Tabelle2[[#This Row],[propertyID]]</f>
        <v>205</v>
      </c>
      <c r="L207" s="15"/>
      <c r="M207" s="15" t="s">
        <v>478</v>
      </c>
      <c r="O207" s="14">
        <v>1</v>
      </c>
      <c r="P207" s="14">
        <f>Tabelle2[[#This Row],[propertyID]]</f>
        <v>205</v>
      </c>
      <c r="Q207" s="14">
        <v>0.40600999999999998</v>
      </c>
      <c r="R207" s="14" t="s">
        <v>478</v>
      </c>
      <c r="S207" t="s">
        <v>945</v>
      </c>
      <c r="T207" s="14"/>
      <c r="U207" s="14"/>
      <c r="V207" s="14"/>
      <c r="W207" s="14">
        <v>0</v>
      </c>
      <c r="X207" s="14"/>
    </row>
    <row r="208" spans="1:24" x14ac:dyDescent="0.25">
      <c r="A208">
        <v>206</v>
      </c>
      <c r="B208">
        <v>11</v>
      </c>
      <c r="C208" t="s">
        <v>459</v>
      </c>
      <c r="D208" t="s">
        <v>767</v>
      </c>
      <c r="E208" t="s">
        <v>26</v>
      </c>
      <c r="F208" s="14" t="s">
        <v>26</v>
      </c>
      <c r="G208" t="s">
        <v>1052</v>
      </c>
      <c r="H208" s="23">
        <v>23</v>
      </c>
      <c r="I208" s="14" t="str">
        <f>TEXT(Tabelle2[[#This Row],[category]],"00")&amp;TEXT(Tabelle2[[#This Row],[internal_order]],"00")</f>
        <v>1123</v>
      </c>
      <c r="J208" s="15">
        <v>2</v>
      </c>
      <c r="K208" s="15">
        <f>Tabelle2[[#This Row],[propertyID]]</f>
        <v>206</v>
      </c>
      <c r="L208" s="15">
        <v>1.7729999999999999</v>
      </c>
      <c r="M208" s="15" t="s">
        <v>460</v>
      </c>
      <c r="N208" t="s">
        <v>1230</v>
      </c>
      <c r="O208" s="14">
        <v>1</v>
      </c>
      <c r="P208" s="14">
        <f>Tabelle2[[#This Row],[propertyID]]</f>
        <v>206</v>
      </c>
      <c r="Q208" s="14">
        <v>1.367</v>
      </c>
      <c r="R208" s="14" t="s">
        <v>460</v>
      </c>
      <c r="S208" t="s">
        <v>945</v>
      </c>
      <c r="T208" s="14"/>
      <c r="U208" s="14"/>
      <c r="V208" s="14"/>
      <c r="W208" s="14">
        <v>0</v>
      </c>
      <c r="X208" s="14"/>
    </row>
    <row r="209" spans="1:24" x14ac:dyDescent="0.25">
      <c r="A209">
        <v>207</v>
      </c>
      <c r="B209">
        <v>16</v>
      </c>
      <c r="C209" t="s">
        <v>1522</v>
      </c>
      <c r="D209" t="s">
        <v>1524</v>
      </c>
      <c r="E209" t="s">
        <v>41</v>
      </c>
      <c r="F209" s="14" t="s">
        <v>922</v>
      </c>
      <c r="G209" t="s">
        <v>1052</v>
      </c>
      <c r="H209" s="23">
        <v>17</v>
      </c>
      <c r="I209" s="23" t="str">
        <f>Tabelle2[[#This Row],[category]]&amp;TEXT(Tabelle2[[#This Row],[internal_order]],"00")</f>
        <v>1617</v>
      </c>
      <c r="J209" s="15">
        <v>2</v>
      </c>
      <c r="K209" s="15">
        <f>Tabelle2[[#This Row],[propertyID]]</f>
        <v>207</v>
      </c>
      <c r="L209" s="15">
        <v>40</v>
      </c>
      <c r="M209" s="15" t="s">
        <v>1526</v>
      </c>
      <c r="O209" s="14"/>
      <c r="P209" s="14">
        <f>Tabelle2[[#This Row],[propertyID]]</f>
        <v>207</v>
      </c>
      <c r="Q209" s="14"/>
      <c r="R209" s="14"/>
      <c r="T209" s="14"/>
      <c r="U209" s="14"/>
      <c r="V209" s="14"/>
      <c r="W209" s="14"/>
      <c r="X209" s="14"/>
    </row>
    <row r="210" spans="1:24" x14ac:dyDescent="0.25">
      <c r="A210">
        <v>208</v>
      </c>
      <c r="B210">
        <v>11</v>
      </c>
      <c r="C210" t="s">
        <v>471</v>
      </c>
      <c r="D210" t="s">
        <v>782</v>
      </c>
      <c r="E210" t="s">
        <v>26</v>
      </c>
      <c r="F210" s="14" t="s">
        <v>26</v>
      </c>
      <c r="G210" t="s">
        <v>1052</v>
      </c>
      <c r="H210" s="23">
        <v>24</v>
      </c>
      <c r="I210" s="14" t="str">
        <f>TEXT(Tabelle2[[#This Row],[category]],"00")&amp;TEXT(Tabelle2[[#This Row],[internal_order]],"00")</f>
        <v>1124</v>
      </c>
      <c r="J210" s="15">
        <v>2</v>
      </c>
      <c r="K210" s="15">
        <f>Tabelle2[[#This Row],[propertyID]]</f>
        <v>208</v>
      </c>
      <c r="L210" s="15">
        <v>1.375</v>
      </c>
      <c r="M210" s="15" t="s">
        <v>472</v>
      </c>
      <c r="N210" t="s">
        <v>1330</v>
      </c>
      <c r="O210" s="14">
        <v>1</v>
      </c>
      <c r="P210" s="14">
        <f>Tabelle2[[#This Row],[propertyID]]</f>
        <v>208</v>
      </c>
      <c r="Q210" s="14">
        <v>1.375</v>
      </c>
      <c r="R210" s="14" t="s">
        <v>472</v>
      </c>
      <c r="S210" t="s">
        <v>945</v>
      </c>
      <c r="T210" s="14"/>
      <c r="U210" s="14"/>
      <c r="V210" s="14"/>
      <c r="W210" s="14">
        <v>0</v>
      </c>
      <c r="X210" s="14"/>
    </row>
    <row r="211" spans="1:24" x14ac:dyDescent="0.25">
      <c r="A211">
        <v>209</v>
      </c>
      <c r="B211">
        <v>16</v>
      </c>
      <c r="C211" t="s">
        <v>1523</v>
      </c>
      <c r="D211" t="s">
        <v>1525</v>
      </c>
      <c r="E211" t="s">
        <v>26</v>
      </c>
      <c r="F211" s="14" t="s">
        <v>26</v>
      </c>
      <c r="G211" t="s">
        <v>1052</v>
      </c>
      <c r="H211" s="23">
        <v>18</v>
      </c>
      <c r="I211" s="23" t="str">
        <f>Tabelle2[[#This Row],[category]]&amp;TEXT(Tabelle2[[#This Row],[internal_order]],"00")</f>
        <v>1618</v>
      </c>
      <c r="J211" s="15">
        <v>2</v>
      </c>
      <c r="K211" s="15">
        <f>Tabelle2[[#This Row],[propertyID]]</f>
        <v>209</v>
      </c>
      <c r="L211" s="15">
        <v>15</v>
      </c>
      <c r="M211" s="15" t="s">
        <v>1527</v>
      </c>
      <c r="O211" s="14"/>
      <c r="P211" s="14">
        <f>Tabelle2[[#This Row],[propertyID]]</f>
        <v>209</v>
      </c>
      <c r="Q211" s="14"/>
      <c r="R211" s="14"/>
      <c r="T211" s="14"/>
      <c r="U211" s="14"/>
      <c r="V211" s="14"/>
      <c r="W211" s="14"/>
      <c r="X211" s="14"/>
    </row>
    <row r="212" spans="1:24" x14ac:dyDescent="0.25">
      <c r="A212">
        <v>210</v>
      </c>
      <c r="B212">
        <v>11</v>
      </c>
      <c r="C212" t="s">
        <v>433</v>
      </c>
      <c r="D212" t="s">
        <v>763</v>
      </c>
      <c r="E212" t="s">
        <v>326</v>
      </c>
      <c r="F212" s="14" t="s">
        <v>924</v>
      </c>
      <c r="G212" t="s">
        <v>1052</v>
      </c>
      <c r="H212" s="23">
        <v>25</v>
      </c>
      <c r="I212" s="14" t="str">
        <f>TEXT(Tabelle2[[#This Row],[category]],"00")&amp;TEXT(Tabelle2[[#This Row],[internal_order]],"00")</f>
        <v>1125</v>
      </c>
      <c r="J212" s="15">
        <v>2</v>
      </c>
      <c r="K212" s="15">
        <f>Tabelle2[[#This Row],[propertyID]]</f>
        <v>210</v>
      </c>
      <c r="L212" s="15">
        <v>1.17E-2</v>
      </c>
      <c r="M212" s="15" t="s">
        <v>434</v>
      </c>
      <c r="N212" t="s">
        <v>1230</v>
      </c>
      <c r="O212" s="14">
        <v>1</v>
      </c>
      <c r="P212" s="14">
        <f>Tabelle2[[#This Row],[propertyID]]</f>
        <v>210</v>
      </c>
      <c r="Q212" s="14">
        <v>5.0000000000000001E-3</v>
      </c>
      <c r="R212" s="14" t="s">
        <v>434</v>
      </c>
      <c r="S212" t="s">
        <v>945</v>
      </c>
      <c r="T212" s="14"/>
      <c r="U212" s="14"/>
      <c r="V212" s="14"/>
      <c r="W212" s="14">
        <v>0</v>
      </c>
      <c r="X212" s="14"/>
    </row>
    <row r="213" spans="1:24" x14ac:dyDescent="0.25">
      <c r="A213">
        <v>211</v>
      </c>
      <c r="B213">
        <v>16</v>
      </c>
      <c r="C213" t="s">
        <v>1528</v>
      </c>
      <c r="D213" t="s">
        <v>1529</v>
      </c>
      <c r="E213" t="s">
        <v>326</v>
      </c>
      <c r="F213" s="14" t="s">
        <v>326</v>
      </c>
      <c r="G213" t="s">
        <v>1052</v>
      </c>
      <c r="H213" s="23">
        <v>19</v>
      </c>
      <c r="I213" s="23" t="str">
        <f>Tabelle2[[#This Row],[category]]&amp;TEXT(Tabelle2[[#This Row],[internal_order]],"00")</f>
        <v>1619</v>
      </c>
      <c r="J213" s="15">
        <v>2</v>
      </c>
      <c r="K213" s="15">
        <f>Tabelle2[[#This Row],[propertyID]]</f>
        <v>211</v>
      </c>
      <c r="L213" s="15">
        <v>0.5</v>
      </c>
      <c r="M213" s="15" t="s">
        <v>1532</v>
      </c>
      <c r="O213" s="14"/>
      <c r="P213" s="14">
        <f>Tabelle2[[#This Row],[propertyID]]</f>
        <v>211</v>
      </c>
      <c r="Q213" s="14"/>
      <c r="R213" s="14"/>
      <c r="T213" s="14"/>
      <c r="U213" s="14"/>
      <c r="V213" s="14"/>
      <c r="W213" s="14"/>
      <c r="X213" s="14"/>
    </row>
    <row r="214" spans="1:24" x14ac:dyDescent="0.25">
      <c r="A214">
        <v>212</v>
      </c>
      <c r="B214">
        <v>11</v>
      </c>
      <c r="C214" t="s">
        <v>473</v>
      </c>
      <c r="D214" t="s">
        <v>785</v>
      </c>
      <c r="E214" t="s">
        <v>26</v>
      </c>
      <c r="F214" s="14" t="s">
        <v>26</v>
      </c>
      <c r="G214" t="s">
        <v>1052</v>
      </c>
      <c r="H214" s="23">
        <v>26</v>
      </c>
      <c r="I214" s="14" t="str">
        <f>TEXT(Tabelle2[[#This Row],[category]],"00")&amp;TEXT(Tabelle2[[#This Row],[internal_order]],"00")</f>
        <v>1126</v>
      </c>
      <c r="J214" s="15">
        <v>2</v>
      </c>
      <c r="K214" s="15">
        <f>Tabelle2[[#This Row],[propertyID]]</f>
        <v>212</v>
      </c>
      <c r="L214" s="15">
        <v>0.69</v>
      </c>
      <c r="M214" s="15" t="s">
        <v>474</v>
      </c>
      <c r="N214" t="s">
        <v>1326</v>
      </c>
      <c r="O214" s="14">
        <v>1</v>
      </c>
      <c r="P214" s="14">
        <f>Tabelle2[[#This Row],[propertyID]]</f>
        <v>212</v>
      </c>
      <c r="Q214" s="14">
        <v>0.69</v>
      </c>
      <c r="R214" s="14" t="s">
        <v>474</v>
      </c>
      <c r="S214" t="s">
        <v>945</v>
      </c>
      <c r="T214" s="14"/>
      <c r="U214" s="14"/>
      <c r="V214" s="14"/>
      <c r="W214" s="14">
        <v>0</v>
      </c>
      <c r="X214" s="14"/>
    </row>
    <row r="215" spans="1:24" x14ac:dyDescent="0.25">
      <c r="A215">
        <v>213</v>
      </c>
      <c r="B215">
        <v>11</v>
      </c>
      <c r="C215" t="s">
        <v>451</v>
      </c>
      <c r="D215" t="s">
        <v>778</v>
      </c>
      <c r="E215" t="s">
        <v>41</v>
      </c>
      <c r="F215" s="14" t="s">
        <v>922</v>
      </c>
      <c r="G215" t="s">
        <v>1052</v>
      </c>
      <c r="H215" s="23">
        <v>27</v>
      </c>
      <c r="I215" s="14" t="str">
        <f>TEXT(Tabelle2[[#This Row],[category]],"00")&amp;TEXT(Tabelle2[[#This Row],[internal_order]],"00")</f>
        <v>1127</v>
      </c>
      <c r="J215" s="15">
        <v>2</v>
      </c>
      <c r="K215" s="15">
        <f>Tabelle2[[#This Row],[propertyID]]</f>
        <v>213</v>
      </c>
      <c r="L215" s="15">
        <v>4.0000000000000002E-4</v>
      </c>
      <c r="M215" s="15" t="s">
        <v>452</v>
      </c>
      <c r="N215" t="s">
        <v>1326</v>
      </c>
      <c r="O215" s="14">
        <v>1</v>
      </c>
      <c r="P215" s="14">
        <f>Tabelle2[[#This Row],[propertyID]]</f>
        <v>213</v>
      </c>
      <c r="Q215" s="14">
        <v>4.0000000000000002E-4</v>
      </c>
      <c r="R215" s="14" t="s">
        <v>452</v>
      </c>
      <c r="S215" t="s">
        <v>945</v>
      </c>
      <c r="T215" s="14"/>
      <c r="U215" s="14"/>
      <c r="V215" s="14"/>
      <c r="W215" s="14">
        <v>0</v>
      </c>
      <c r="X215" s="14"/>
    </row>
    <row r="216" spans="1:24" x14ac:dyDescent="0.25">
      <c r="A216">
        <v>214</v>
      </c>
      <c r="B216">
        <v>11</v>
      </c>
      <c r="C216" t="s">
        <v>1320</v>
      </c>
      <c r="D216" t="s">
        <v>1319</v>
      </c>
      <c r="E216" t="s">
        <v>41</v>
      </c>
      <c r="F216" s="14" t="s">
        <v>922</v>
      </c>
      <c r="G216" t="s">
        <v>1052</v>
      </c>
      <c r="H216" s="23">
        <v>28</v>
      </c>
      <c r="I216" s="14" t="str">
        <f>TEXT(Tabelle2[[#This Row],[category]],"00")&amp;TEXT(Tabelle2[[#This Row],[internal_order]],"00")</f>
        <v>1128</v>
      </c>
      <c r="J216" s="15">
        <v>2</v>
      </c>
      <c r="K216" s="15">
        <f>Tabelle2[[#This Row],[propertyID]]</f>
        <v>214</v>
      </c>
      <c r="L216" s="15">
        <v>5.0000000000000001E-4</v>
      </c>
      <c r="M216" s="15" t="s">
        <v>1318</v>
      </c>
      <c r="N216" t="s">
        <v>1326</v>
      </c>
      <c r="O216" s="14">
        <v>1</v>
      </c>
      <c r="P216" s="14">
        <f>Tabelle2[[#This Row],[propertyID]]</f>
        <v>214</v>
      </c>
      <c r="Q216" s="14">
        <v>5.0000000000000001E-4</v>
      </c>
      <c r="R216" s="14" t="s">
        <v>450</v>
      </c>
      <c r="S216" t="s">
        <v>945</v>
      </c>
      <c r="T216" s="14"/>
      <c r="U216" s="14"/>
      <c r="V216" s="14"/>
      <c r="W216" s="14">
        <v>0</v>
      </c>
      <c r="X216" s="14"/>
    </row>
    <row r="217" spans="1:24" x14ac:dyDescent="0.25">
      <c r="A217">
        <v>215</v>
      </c>
      <c r="B217">
        <v>11</v>
      </c>
      <c r="C217" t="s">
        <v>1321</v>
      </c>
      <c r="D217" t="s">
        <v>1467</v>
      </c>
      <c r="E217" t="s">
        <v>112</v>
      </c>
      <c r="F217" s="14" t="s">
        <v>1492</v>
      </c>
      <c r="G217" t="s">
        <v>1052</v>
      </c>
      <c r="H217" s="23">
        <v>29</v>
      </c>
      <c r="I217" s="14" t="str">
        <f>TEXT(Tabelle2[[#This Row],[category]],"00")&amp;TEXT(Tabelle2[[#This Row],[internal_order]],"00")</f>
        <v>1129</v>
      </c>
      <c r="J217" s="15">
        <v>2</v>
      </c>
      <c r="K217" s="15">
        <f>Tabelle2[[#This Row],[propertyID]]</f>
        <v>215</v>
      </c>
      <c r="L217" s="15">
        <v>28200</v>
      </c>
      <c r="M217" s="15" t="s">
        <v>1314</v>
      </c>
      <c r="O217" s="14">
        <v>1</v>
      </c>
      <c r="P217" s="14">
        <f>Tabelle2[[#This Row],[propertyID]]</f>
        <v>215</v>
      </c>
      <c r="Q217" s="14">
        <v>60</v>
      </c>
      <c r="R217" s="14" t="s">
        <v>117</v>
      </c>
      <c r="S217" t="s">
        <v>945</v>
      </c>
      <c r="T217" s="14"/>
      <c r="U217" s="14"/>
      <c r="V217" s="14"/>
      <c r="W217" s="14">
        <v>0</v>
      </c>
      <c r="X217" s="14"/>
    </row>
    <row r="218" spans="1:24" x14ac:dyDescent="0.25">
      <c r="A218">
        <v>216</v>
      </c>
      <c r="B218">
        <v>11</v>
      </c>
      <c r="C218" t="s">
        <v>469</v>
      </c>
      <c r="D218" t="s">
        <v>770</v>
      </c>
      <c r="E218" t="s">
        <v>26</v>
      </c>
      <c r="F218" s="14" t="s">
        <v>26</v>
      </c>
      <c r="G218" t="s">
        <v>1052</v>
      </c>
      <c r="H218" s="23">
        <v>30</v>
      </c>
      <c r="I218" s="14" t="str">
        <f>TEXT(Tabelle2[[#This Row],[category]],"00")&amp;TEXT(Tabelle2[[#This Row],[internal_order]],"00")</f>
        <v>1130</v>
      </c>
      <c r="J218" s="15">
        <v>2</v>
      </c>
      <c r="K218" s="15">
        <f>Tabelle2[[#This Row],[propertyID]]</f>
        <v>216</v>
      </c>
      <c r="L218" s="15">
        <v>0</v>
      </c>
      <c r="M218" s="15" t="s">
        <v>470</v>
      </c>
      <c r="N218" t="s">
        <v>1326</v>
      </c>
      <c r="O218" s="14">
        <v>1</v>
      </c>
      <c r="P218" s="14">
        <f>Tabelle2[[#This Row],[propertyID]]</f>
        <v>216</v>
      </c>
      <c r="Q218" s="14">
        <v>0</v>
      </c>
      <c r="R218" s="14" t="s">
        <v>470</v>
      </c>
      <c r="S218" t="s">
        <v>945</v>
      </c>
      <c r="T218" s="14"/>
      <c r="U218" s="14"/>
      <c r="V218" s="14"/>
      <c r="W218" s="14">
        <v>0</v>
      </c>
      <c r="X218" s="14"/>
    </row>
    <row r="219" spans="1:24" x14ac:dyDescent="0.25">
      <c r="A219">
        <v>217</v>
      </c>
      <c r="B219">
        <v>11</v>
      </c>
      <c r="C219" t="s">
        <v>467</v>
      </c>
      <c r="D219" t="s">
        <v>769</v>
      </c>
      <c r="E219" t="s">
        <v>26</v>
      </c>
      <c r="F219" s="14" t="s">
        <v>26</v>
      </c>
      <c r="G219" t="s">
        <v>1052</v>
      </c>
      <c r="H219" s="23">
        <v>31</v>
      </c>
      <c r="I219" s="14" t="str">
        <f>TEXT(Tabelle2[[#This Row],[category]],"00")&amp;TEXT(Tabelle2[[#This Row],[internal_order]],"00")</f>
        <v>1131</v>
      </c>
      <c r="J219" s="15">
        <v>2</v>
      </c>
      <c r="K219" s="15">
        <f>Tabelle2[[#This Row],[propertyID]]</f>
        <v>217</v>
      </c>
      <c r="L219" s="15">
        <v>0.185</v>
      </c>
      <c r="M219" s="15" t="s">
        <v>468</v>
      </c>
      <c r="N219" t="s">
        <v>1330</v>
      </c>
      <c r="O219" s="14">
        <v>1</v>
      </c>
      <c r="P219" s="14">
        <f>Tabelle2[[#This Row],[propertyID]]</f>
        <v>217</v>
      </c>
      <c r="Q219" s="14">
        <v>0.185</v>
      </c>
      <c r="R219" s="14" t="s">
        <v>468</v>
      </c>
      <c r="S219" t="s">
        <v>945</v>
      </c>
      <c r="T219" s="14"/>
      <c r="U219" s="14"/>
      <c r="V219" s="14"/>
      <c r="W219" s="14">
        <v>0</v>
      </c>
      <c r="X219" s="14"/>
    </row>
    <row r="220" spans="1:24" x14ac:dyDescent="0.25">
      <c r="A220">
        <v>218</v>
      </c>
      <c r="B220">
        <v>12</v>
      </c>
      <c r="C220" t="s">
        <v>485</v>
      </c>
      <c r="D220" t="s">
        <v>1417</v>
      </c>
      <c r="E220" t="s">
        <v>29</v>
      </c>
      <c r="F220" s="14" t="s">
        <v>29</v>
      </c>
      <c r="G220" t="s">
        <v>1052</v>
      </c>
      <c r="H220" s="23">
        <v>1</v>
      </c>
      <c r="I220" s="14" t="str">
        <f>TEXT(Tabelle2[[#This Row],[category]],"00")&amp;TEXT(Tabelle2[[#This Row],[internal_order]],"00")</f>
        <v>1201</v>
      </c>
      <c r="J220" s="15">
        <v>2</v>
      </c>
      <c r="K220" s="15">
        <f>Tabelle2[[#This Row],[propertyID]]</f>
        <v>218</v>
      </c>
      <c r="L220" s="15">
        <v>32</v>
      </c>
      <c r="M220" s="15" t="s">
        <v>486</v>
      </c>
      <c r="N220" t="s">
        <v>1326</v>
      </c>
      <c r="O220" s="14">
        <v>1</v>
      </c>
      <c r="P220" s="14">
        <f>Tabelle2[[#This Row],[propertyID]]</f>
        <v>218</v>
      </c>
      <c r="Q220" s="14">
        <v>32</v>
      </c>
      <c r="R220" s="14" t="s">
        <v>486</v>
      </c>
      <c r="S220" t="s">
        <v>946</v>
      </c>
      <c r="T220" s="14"/>
      <c r="U220" s="14"/>
      <c r="V220" s="14"/>
      <c r="W220" s="14">
        <v>0</v>
      </c>
      <c r="X220" s="14"/>
    </row>
    <row r="221" spans="1:24" x14ac:dyDescent="0.25">
      <c r="A221">
        <v>219</v>
      </c>
      <c r="B221">
        <v>12</v>
      </c>
      <c r="C221" t="s">
        <v>483</v>
      </c>
      <c r="D221" t="s">
        <v>1420</v>
      </c>
      <c r="E221" t="s">
        <v>29</v>
      </c>
      <c r="F221" s="14" t="s">
        <v>29</v>
      </c>
      <c r="G221" t="s">
        <v>1052</v>
      </c>
      <c r="H221" s="23">
        <v>2</v>
      </c>
      <c r="I221" s="14" t="str">
        <f>TEXT(Tabelle2[[#This Row],[category]],"00")&amp;TEXT(Tabelle2[[#This Row],[internal_order]],"00")</f>
        <v>1202</v>
      </c>
      <c r="J221" s="15">
        <v>2</v>
      </c>
      <c r="K221" s="15">
        <f>Tabelle2[[#This Row],[propertyID]]</f>
        <v>219</v>
      </c>
      <c r="L221" s="15">
        <v>30</v>
      </c>
      <c r="M221" s="15" t="s">
        <v>484</v>
      </c>
      <c r="N221" t="s">
        <v>1230</v>
      </c>
      <c r="O221" s="14">
        <v>1</v>
      </c>
      <c r="P221" s="14">
        <f>Tabelle2[[#This Row],[propertyID]]</f>
        <v>219</v>
      </c>
      <c r="Q221" s="14">
        <v>35</v>
      </c>
      <c r="R221" s="14" t="s">
        <v>484</v>
      </c>
      <c r="S221" t="s">
        <v>946</v>
      </c>
      <c r="T221" s="14"/>
      <c r="U221" s="14"/>
      <c r="V221" s="14"/>
      <c r="W221" s="14">
        <v>0</v>
      </c>
      <c r="X221" s="14"/>
    </row>
    <row r="222" spans="1:24" x14ac:dyDescent="0.25">
      <c r="A222">
        <v>220</v>
      </c>
      <c r="B222">
        <v>12</v>
      </c>
      <c r="C222" t="s">
        <v>479</v>
      </c>
      <c r="D222" t="s">
        <v>1419</v>
      </c>
      <c r="E222" t="s">
        <v>29</v>
      </c>
      <c r="F222" s="14" t="s">
        <v>29</v>
      </c>
      <c r="G222" t="s">
        <v>1052</v>
      </c>
      <c r="H222" s="23">
        <v>3</v>
      </c>
      <c r="I222" s="14" t="str">
        <f>TEXT(Tabelle2[[#This Row],[category]],"00")&amp;TEXT(Tabelle2[[#This Row],[internal_order]],"00")</f>
        <v>1203</v>
      </c>
      <c r="J222" s="15">
        <v>2</v>
      </c>
      <c r="K222" s="15">
        <f>Tabelle2[[#This Row],[propertyID]]</f>
        <v>220</v>
      </c>
      <c r="L222" s="15">
        <v>5</v>
      </c>
      <c r="M222" s="15" t="s">
        <v>480</v>
      </c>
      <c r="N222" t="s">
        <v>1326</v>
      </c>
      <c r="O222" s="14">
        <v>1</v>
      </c>
      <c r="P222" s="14">
        <f>Tabelle2[[#This Row],[propertyID]]</f>
        <v>220</v>
      </c>
      <c r="Q222" s="14">
        <v>5</v>
      </c>
      <c r="R222" s="14" t="s">
        <v>480</v>
      </c>
      <c r="S222" t="s">
        <v>946</v>
      </c>
      <c r="T222" s="14"/>
      <c r="U222" s="14"/>
      <c r="V222" s="14"/>
      <c r="W222" s="14">
        <v>0</v>
      </c>
      <c r="X222" s="14"/>
    </row>
    <row r="223" spans="1:24" x14ac:dyDescent="0.25">
      <c r="A223">
        <v>221</v>
      </c>
      <c r="B223">
        <v>12</v>
      </c>
      <c r="C223" t="s">
        <v>481</v>
      </c>
      <c r="D223" t="s">
        <v>1418</v>
      </c>
      <c r="E223" t="s">
        <v>29</v>
      </c>
      <c r="F223" s="14" t="s">
        <v>29</v>
      </c>
      <c r="G223" t="s">
        <v>1052</v>
      </c>
      <c r="H223" s="23">
        <v>4</v>
      </c>
      <c r="I223" s="14" t="str">
        <f>TEXT(Tabelle2[[#This Row],[category]],"00")&amp;TEXT(Tabelle2[[#This Row],[internal_order]],"00")</f>
        <v>1204</v>
      </c>
      <c r="J223" s="15">
        <v>2</v>
      </c>
      <c r="K223" s="15">
        <f>Tabelle2[[#This Row],[propertyID]]</f>
        <v>221</v>
      </c>
      <c r="L223" s="15">
        <v>47</v>
      </c>
      <c r="M223" s="15" t="s">
        <v>482</v>
      </c>
      <c r="N223" t="s">
        <v>1326</v>
      </c>
      <c r="O223" s="14">
        <v>1</v>
      </c>
      <c r="P223" s="14">
        <f>Tabelle2[[#This Row],[propertyID]]</f>
        <v>221</v>
      </c>
      <c r="Q223" s="14">
        <v>47</v>
      </c>
      <c r="R223" s="14" t="s">
        <v>482</v>
      </c>
      <c r="S223" t="s">
        <v>946</v>
      </c>
      <c r="T223" s="14"/>
      <c r="U223" s="14"/>
      <c r="V223" s="14"/>
      <c r="W223" s="14">
        <v>0</v>
      </c>
      <c r="X223" s="14"/>
    </row>
    <row r="224" spans="1:24" x14ac:dyDescent="0.25">
      <c r="A224">
        <v>222</v>
      </c>
      <c r="B224">
        <v>13</v>
      </c>
      <c r="C224" t="s">
        <v>500</v>
      </c>
      <c r="D224" t="s">
        <v>795</v>
      </c>
      <c r="E224" t="s">
        <v>326</v>
      </c>
      <c r="F224" s="14" t="s">
        <v>924</v>
      </c>
      <c r="G224" t="s">
        <v>1052</v>
      </c>
      <c r="H224" s="23">
        <v>8</v>
      </c>
      <c r="I224" s="14" t="str">
        <f>TEXT(Tabelle2[[#This Row],[category]],"00")&amp;TEXT(Tabelle2[[#This Row],[internal_order]],"00")</f>
        <v>1308</v>
      </c>
      <c r="J224" s="15">
        <v>2</v>
      </c>
      <c r="K224" s="15">
        <f>Tabelle2[[#This Row],[propertyID]]</f>
        <v>222</v>
      </c>
      <c r="L224" s="15">
        <v>100</v>
      </c>
      <c r="M224" s="15" t="s">
        <v>501</v>
      </c>
      <c r="N224" t="s">
        <v>1326</v>
      </c>
      <c r="O224" s="14">
        <v>1</v>
      </c>
      <c r="P224" s="14">
        <f>Tabelle2[[#This Row],[propertyID]]</f>
        <v>222</v>
      </c>
      <c r="Q224" s="14">
        <v>100</v>
      </c>
      <c r="R224" s="14" t="s">
        <v>501</v>
      </c>
      <c r="S224" t="s">
        <v>953</v>
      </c>
      <c r="T224" s="14"/>
      <c r="U224" s="14"/>
      <c r="V224" s="14"/>
      <c r="W224" s="14">
        <v>0</v>
      </c>
      <c r="X224" s="14"/>
    </row>
    <row r="225" spans="1:24" x14ac:dyDescent="0.25">
      <c r="A225">
        <v>223</v>
      </c>
      <c r="B225">
        <v>13</v>
      </c>
      <c r="C225" t="s">
        <v>495</v>
      </c>
      <c r="D225" t="s">
        <v>793</v>
      </c>
      <c r="E225" t="s">
        <v>496</v>
      </c>
      <c r="F225" s="14" t="s">
        <v>1505</v>
      </c>
      <c r="G225" t="s">
        <v>1052</v>
      </c>
      <c r="H225" s="23">
        <v>9</v>
      </c>
      <c r="I225" s="14" t="str">
        <f>TEXT(Tabelle2[[#This Row],[category]],"00")&amp;TEXT(Tabelle2[[#This Row],[internal_order]],"00")</f>
        <v>1309</v>
      </c>
      <c r="J225" s="15">
        <v>2</v>
      </c>
      <c r="K225" s="15">
        <f>Tabelle2[[#This Row],[propertyID]]</f>
        <v>223</v>
      </c>
      <c r="L225" s="15">
        <v>4</v>
      </c>
      <c r="M225" s="15" t="s">
        <v>497</v>
      </c>
      <c r="N225" t="s">
        <v>1326</v>
      </c>
      <c r="O225" s="14">
        <v>1</v>
      </c>
      <c r="P225" s="14">
        <f>Tabelle2[[#This Row],[propertyID]]</f>
        <v>223</v>
      </c>
      <c r="Q225" s="14">
        <v>4</v>
      </c>
      <c r="R225" s="14" t="s">
        <v>497</v>
      </c>
      <c r="S225" t="s">
        <v>953</v>
      </c>
      <c r="T225" s="14"/>
      <c r="U225" s="14"/>
      <c r="V225" s="14"/>
      <c r="W225" s="14">
        <v>0</v>
      </c>
      <c r="X225" s="14"/>
    </row>
    <row r="226" spans="1:24" x14ac:dyDescent="0.25">
      <c r="A226">
        <v>224</v>
      </c>
      <c r="B226">
        <v>13</v>
      </c>
      <c r="C226" t="s">
        <v>492</v>
      </c>
      <c r="D226" t="s">
        <v>792</v>
      </c>
      <c r="E226" t="s">
        <v>493</v>
      </c>
      <c r="F226" s="14" t="s">
        <v>1506</v>
      </c>
      <c r="G226" t="s">
        <v>1052</v>
      </c>
      <c r="H226" s="23">
        <v>10</v>
      </c>
      <c r="I226" s="14" t="str">
        <f>TEXT(Tabelle2[[#This Row],[category]],"00")&amp;TEXT(Tabelle2[[#This Row],[internal_order]],"00")</f>
        <v>1310</v>
      </c>
      <c r="J226" s="15">
        <v>2</v>
      </c>
      <c r="K226" s="15">
        <f>Tabelle2[[#This Row],[propertyID]]</f>
        <v>224</v>
      </c>
      <c r="L226" s="15">
        <v>0.09</v>
      </c>
      <c r="M226" s="15" t="s">
        <v>494</v>
      </c>
      <c r="N226" t="s">
        <v>1326</v>
      </c>
      <c r="O226" s="14">
        <v>1</v>
      </c>
      <c r="P226" s="14">
        <f>Tabelle2[[#This Row],[propertyID]]</f>
        <v>224</v>
      </c>
      <c r="Q226" s="14">
        <v>0.09</v>
      </c>
      <c r="R226" s="14" t="s">
        <v>494</v>
      </c>
      <c r="S226" t="s">
        <v>953</v>
      </c>
      <c r="T226" s="14"/>
      <c r="U226" s="14"/>
      <c r="V226" s="14"/>
      <c r="W226" s="14">
        <v>0</v>
      </c>
      <c r="X226" s="14"/>
    </row>
    <row r="227" spans="1:24" x14ac:dyDescent="0.25">
      <c r="A227">
        <v>225</v>
      </c>
      <c r="B227">
        <v>13</v>
      </c>
      <c r="C227" t="s">
        <v>487</v>
      </c>
      <c r="D227" t="s">
        <v>790</v>
      </c>
      <c r="E227" t="s">
        <v>488</v>
      </c>
      <c r="F227" s="14" t="s">
        <v>1507</v>
      </c>
      <c r="G227" t="s">
        <v>1052</v>
      </c>
      <c r="H227" s="23">
        <v>11</v>
      </c>
      <c r="I227" s="14" t="str">
        <f>TEXT(Tabelle2[[#This Row],[category]],"00")&amp;TEXT(Tabelle2[[#This Row],[internal_order]],"00")</f>
        <v>1311</v>
      </c>
      <c r="J227" s="15">
        <v>2</v>
      </c>
      <c r="K227" s="15">
        <f>Tabelle2[[#This Row],[propertyID]]</f>
        <v>225</v>
      </c>
      <c r="L227" s="15">
        <v>0.1</v>
      </c>
      <c r="M227" s="15" t="s">
        <v>489</v>
      </c>
      <c r="N227" t="s">
        <v>1326</v>
      </c>
      <c r="O227" s="14">
        <v>1</v>
      </c>
      <c r="P227" s="14">
        <f>Tabelle2[[#This Row],[propertyID]]</f>
        <v>225</v>
      </c>
      <c r="Q227" s="14">
        <v>0.1</v>
      </c>
      <c r="R227" s="14" t="s">
        <v>489</v>
      </c>
      <c r="S227" t="s">
        <v>953</v>
      </c>
      <c r="T227" s="14"/>
      <c r="U227" s="14"/>
      <c r="V227" s="14"/>
      <c r="W227" s="14">
        <v>0</v>
      </c>
      <c r="X227" s="14"/>
    </row>
    <row r="228" spans="1:24" x14ac:dyDescent="0.25">
      <c r="A228">
        <v>226</v>
      </c>
      <c r="B228">
        <v>13</v>
      </c>
      <c r="C228" t="s">
        <v>490</v>
      </c>
      <c r="D228" t="s">
        <v>791</v>
      </c>
      <c r="E228" t="s">
        <v>35</v>
      </c>
      <c r="F228" s="14" t="s">
        <v>924</v>
      </c>
      <c r="G228" t="s">
        <v>1052</v>
      </c>
      <c r="H228" s="23">
        <v>12</v>
      </c>
      <c r="I228" s="14" t="str">
        <f>TEXT(Tabelle2[[#This Row],[category]],"00")&amp;TEXT(Tabelle2[[#This Row],[internal_order]],"00")</f>
        <v>1312</v>
      </c>
      <c r="J228" s="15">
        <v>2</v>
      </c>
      <c r="K228" s="15">
        <f>Tabelle2[[#This Row],[propertyID]]</f>
        <v>226</v>
      </c>
      <c r="L228" s="15">
        <v>1.2500000000000001E-2</v>
      </c>
      <c r="M228" s="15" t="s">
        <v>491</v>
      </c>
      <c r="N228" t="s">
        <v>1326</v>
      </c>
      <c r="O228" s="14">
        <v>1</v>
      </c>
      <c r="P228" s="14">
        <f>Tabelle2[[#This Row],[propertyID]]</f>
        <v>226</v>
      </c>
      <c r="Q228" s="14">
        <v>1.2500000000000001E-2</v>
      </c>
      <c r="R228" s="14" t="s">
        <v>491</v>
      </c>
      <c r="S228" t="s">
        <v>953</v>
      </c>
      <c r="T228" s="14"/>
      <c r="U228" s="14"/>
      <c r="V228" s="14"/>
      <c r="W228" s="14">
        <v>0</v>
      </c>
      <c r="X228" s="14"/>
    </row>
    <row r="229" spans="1:24" x14ac:dyDescent="0.25">
      <c r="A229">
        <v>227</v>
      </c>
      <c r="B229">
        <v>13</v>
      </c>
      <c r="C229" t="s">
        <v>502</v>
      </c>
      <c r="D229" t="s">
        <v>796</v>
      </c>
      <c r="E229" t="s">
        <v>35</v>
      </c>
      <c r="F229" s="14" t="s">
        <v>924</v>
      </c>
      <c r="G229" t="s">
        <v>1052</v>
      </c>
      <c r="H229" s="23">
        <v>13</v>
      </c>
      <c r="I229" s="14" t="str">
        <f>TEXT(Tabelle2[[#This Row],[category]],"00")&amp;TEXT(Tabelle2[[#This Row],[internal_order]],"00")</f>
        <v>1313</v>
      </c>
      <c r="J229" s="15">
        <v>2</v>
      </c>
      <c r="K229" s="15">
        <f>Tabelle2[[#This Row],[propertyID]]</f>
        <v>227</v>
      </c>
      <c r="L229" s="15">
        <v>8.3330000000000003E-5</v>
      </c>
      <c r="M229" s="15" t="s">
        <v>503</v>
      </c>
      <c r="N229" t="s">
        <v>1326</v>
      </c>
      <c r="O229" s="14">
        <v>1</v>
      </c>
      <c r="P229" s="14">
        <f>Tabelle2[[#This Row],[propertyID]]</f>
        <v>227</v>
      </c>
      <c r="Q229" s="14">
        <v>8.3330000000000003E-5</v>
      </c>
      <c r="R229" s="14" t="s">
        <v>503</v>
      </c>
      <c r="S229" t="s">
        <v>953</v>
      </c>
      <c r="T229" s="14"/>
      <c r="U229" s="14"/>
      <c r="V229" s="14"/>
      <c r="W229" s="14">
        <v>0</v>
      </c>
      <c r="X229" s="14"/>
    </row>
    <row r="230" spans="1:24" x14ac:dyDescent="0.25">
      <c r="A230">
        <v>228</v>
      </c>
      <c r="B230">
        <v>13</v>
      </c>
      <c r="C230" t="s">
        <v>498</v>
      </c>
      <c r="D230" t="s">
        <v>794</v>
      </c>
      <c r="E230" t="s">
        <v>26</v>
      </c>
      <c r="F230" s="14" t="s">
        <v>26</v>
      </c>
      <c r="G230" t="s">
        <v>1052</v>
      </c>
      <c r="H230" s="23">
        <v>14</v>
      </c>
      <c r="I230" s="14" t="str">
        <f>TEXT(Tabelle2[[#This Row],[category]],"00")&amp;TEXT(Tabelle2[[#This Row],[internal_order]],"00")</f>
        <v>1314</v>
      </c>
      <c r="J230" s="15">
        <v>2</v>
      </c>
      <c r="K230" s="15">
        <f>Tabelle2[[#This Row],[propertyID]]</f>
        <v>228</v>
      </c>
      <c r="L230" s="15">
        <v>0.97499999999999998</v>
      </c>
      <c r="M230" s="15" t="s">
        <v>499</v>
      </c>
      <c r="N230" t="s">
        <v>1326</v>
      </c>
      <c r="O230" s="14">
        <v>1</v>
      </c>
      <c r="P230" s="14">
        <f>Tabelle2[[#This Row],[propertyID]]</f>
        <v>228</v>
      </c>
      <c r="Q230" s="14">
        <v>0.97499999999999998</v>
      </c>
      <c r="R230" s="14" t="s">
        <v>499</v>
      </c>
      <c r="S230" t="s">
        <v>953</v>
      </c>
      <c r="T230" s="14"/>
      <c r="U230" s="14"/>
      <c r="V230" s="14"/>
      <c r="W230" s="14">
        <v>0</v>
      </c>
      <c r="X230" s="14"/>
    </row>
    <row r="231" spans="1:24" x14ac:dyDescent="0.25">
      <c r="A231">
        <v>229</v>
      </c>
      <c r="B231">
        <v>14</v>
      </c>
      <c r="C231" t="s">
        <v>508</v>
      </c>
      <c r="D231" t="s">
        <v>798</v>
      </c>
      <c r="E231" t="s">
        <v>26</v>
      </c>
      <c r="F231" s="14" t="s">
        <v>26</v>
      </c>
      <c r="G231" t="s">
        <v>1052</v>
      </c>
      <c r="H231" s="23">
        <v>5</v>
      </c>
      <c r="I231" s="14" t="str">
        <f>TEXT(Tabelle2[[#This Row],[category]],"00")&amp;TEXT(Tabelle2[[#This Row],[internal_order]],"00")</f>
        <v>1405</v>
      </c>
      <c r="J231" s="15">
        <v>2</v>
      </c>
      <c r="K231" s="15">
        <f>Tabelle2[[#This Row],[propertyID]]</f>
        <v>229</v>
      </c>
      <c r="L231" s="15">
        <v>4.8</v>
      </c>
      <c r="M231" s="15" t="s">
        <v>509</v>
      </c>
      <c r="N231" t="s">
        <v>1328</v>
      </c>
      <c r="O231" s="14">
        <v>1</v>
      </c>
      <c r="P231" s="14">
        <f>Tabelle2[[#This Row],[propertyID]]</f>
        <v>229</v>
      </c>
      <c r="Q231" s="14">
        <v>6.8</v>
      </c>
      <c r="R231" s="14" t="s">
        <v>509</v>
      </c>
      <c r="S231" t="s">
        <v>510</v>
      </c>
      <c r="T231" s="14"/>
      <c r="U231" s="14"/>
      <c r="V231" s="14"/>
      <c r="W231" s="14">
        <v>0</v>
      </c>
      <c r="X231" s="14"/>
    </row>
    <row r="232" spans="1:24" x14ac:dyDescent="0.25">
      <c r="A232">
        <v>230</v>
      </c>
      <c r="B232">
        <v>14</v>
      </c>
      <c r="C232" t="s">
        <v>504</v>
      </c>
      <c r="D232" t="s">
        <v>875</v>
      </c>
      <c r="E232" t="s">
        <v>26</v>
      </c>
      <c r="F232" s="14" t="s">
        <v>26</v>
      </c>
      <c r="G232" t="s">
        <v>1052</v>
      </c>
      <c r="H232" s="23">
        <v>6</v>
      </c>
      <c r="I232" s="14" t="str">
        <f>TEXT(Tabelle2[[#This Row],[category]],"00")&amp;TEXT(Tabelle2[[#This Row],[internal_order]],"00")</f>
        <v>1406</v>
      </c>
      <c r="J232" s="15">
        <v>2</v>
      </c>
      <c r="K232" s="15">
        <f>Tabelle2[[#This Row],[propertyID]]</f>
        <v>230</v>
      </c>
      <c r="L232" s="15">
        <v>2</v>
      </c>
      <c r="M232" s="15" t="s">
        <v>505</v>
      </c>
      <c r="N232" t="s">
        <v>1327</v>
      </c>
      <c r="O232" s="14">
        <v>1</v>
      </c>
      <c r="P232" s="14">
        <f>Tabelle2[[#This Row],[propertyID]]</f>
        <v>230</v>
      </c>
      <c r="Q232" s="14">
        <v>4</v>
      </c>
      <c r="R232" s="14" t="s">
        <v>505</v>
      </c>
      <c r="S232" t="s">
        <v>510</v>
      </c>
      <c r="T232" s="14"/>
      <c r="U232" s="14"/>
      <c r="V232" s="14"/>
      <c r="W232" s="14">
        <v>0</v>
      </c>
      <c r="X232" s="14"/>
    </row>
    <row r="233" spans="1:24" x14ac:dyDescent="0.25">
      <c r="A233">
        <v>231</v>
      </c>
      <c r="B233">
        <v>14</v>
      </c>
      <c r="C233" t="s">
        <v>506</v>
      </c>
      <c r="D233" t="s">
        <v>797</v>
      </c>
      <c r="E233" t="s">
        <v>26</v>
      </c>
      <c r="F233" s="14" t="s">
        <v>26</v>
      </c>
      <c r="G233" t="s">
        <v>1052</v>
      </c>
      <c r="H233" s="23">
        <v>7</v>
      </c>
      <c r="I233" s="14" t="str">
        <f>TEXT(Tabelle2[[#This Row],[category]],"00")&amp;TEXT(Tabelle2[[#This Row],[internal_order]],"00")</f>
        <v>1407</v>
      </c>
      <c r="J233" s="15">
        <v>2</v>
      </c>
      <c r="K233" s="15">
        <f>Tabelle2[[#This Row],[propertyID]]</f>
        <v>231</v>
      </c>
      <c r="L233" s="15">
        <v>9</v>
      </c>
      <c r="M233" s="15" t="s">
        <v>507</v>
      </c>
      <c r="N233" t="s">
        <v>1326</v>
      </c>
      <c r="O233" s="14">
        <v>1</v>
      </c>
      <c r="P233" s="14">
        <f>Tabelle2[[#This Row],[propertyID]]</f>
        <v>231</v>
      </c>
      <c r="Q233" s="14">
        <v>9</v>
      </c>
      <c r="R233" s="14" t="s">
        <v>507</v>
      </c>
      <c r="S233" t="s">
        <v>510</v>
      </c>
      <c r="T233" s="14"/>
      <c r="U233" s="14"/>
      <c r="V233" s="14"/>
      <c r="W233" s="14">
        <v>0</v>
      </c>
      <c r="X233" s="14"/>
    </row>
    <row r="234" spans="1:24" x14ac:dyDescent="0.25">
      <c r="A234">
        <v>232</v>
      </c>
      <c r="B234">
        <v>15</v>
      </c>
      <c r="C234" t="s">
        <v>1154</v>
      </c>
      <c r="D234" t="s">
        <v>1155</v>
      </c>
      <c r="E234" t="s">
        <v>889</v>
      </c>
      <c r="F234" s="14" t="s">
        <v>889</v>
      </c>
      <c r="G234" t="s">
        <v>1052</v>
      </c>
      <c r="H234" s="23">
        <v>1</v>
      </c>
      <c r="I234" s="14" t="str">
        <f>TEXT(Tabelle2[[#This Row],[category]],"00")&amp;TEXT(Tabelle2[[#This Row],[internal_order]],"00")</f>
        <v>1501</v>
      </c>
      <c r="J234" s="15">
        <v>2</v>
      </c>
      <c r="K234" s="15">
        <f>Tabelle2[[#This Row],[propertyID]]</f>
        <v>232</v>
      </c>
      <c r="L234" s="15">
        <v>2</v>
      </c>
      <c r="M234" s="15" t="s">
        <v>892</v>
      </c>
      <c r="O234" s="14">
        <v>1</v>
      </c>
      <c r="P234" s="14">
        <f>Tabelle2[[#This Row],[propertyID]]</f>
        <v>232</v>
      </c>
      <c r="Q234" s="14">
        <v>2</v>
      </c>
      <c r="R234" s="14" t="s">
        <v>892</v>
      </c>
      <c r="S234" t="s">
        <v>954</v>
      </c>
      <c r="T234" s="14"/>
      <c r="U234" s="14"/>
      <c r="V234" s="14"/>
      <c r="W234" s="14">
        <v>0</v>
      </c>
      <c r="X234" s="14"/>
    </row>
    <row r="235" spans="1:24" x14ac:dyDescent="0.25">
      <c r="A235">
        <v>233</v>
      </c>
      <c r="B235">
        <v>15</v>
      </c>
      <c r="C235" t="s">
        <v>901</v>
      </c>
      <c r="D235" t="s">
        <v>902</v>
      </c>
      <c r="F235" s="14"/>
      <c r="G235" t="s">
        <v>1052</v>
      </c>
      <c r="H235" s="23">
        <v>2</v>
      </c>
      <c r="I235" s="14" t="str">
        <f>TEXT(Tabelle2[[#This Row],[category]],"00")&amp;TEXT(Tabelle2[[#This Row],[internal_order]],"00")</f>
        <v>1502</v>
      </c>
      <c r="J235" s="15">
        <v>2</v>
      </c>
      <c r="K235" s="15">
        <f>Tabelle2[[#This Row],[propertyID]]</f>
        <v>233</v>
      </c>
      <c r="L235" s="15">
        <v>1</v>
      </c>
      <c r="M235" s="15" t="s">
        <v>903</v>
      </c>
      <c r="O235" s="14">
        <v>1</v>
      </c>
      <c r="P235" s="14">
        <f>Tabelle2[[#This Row],[propertyID]]</f>
        <v>233</v>
      </c>
      <c r="Q235" s="14">
        <v>1</v>
      </c>
      <c r="R235" s="14" t="s">
        <v>903</v>
      </c>
      <c r="S235" t="s">
        <v>954</v>
      </c>
      <c r="T235" s="14"/>
      <c r="U235" s="14"/>
      <c r="V235" s="14"/>
      <c r="W235" s="14">
        <v>0</v>
      </c>
      <c r="X235" s="14"/>
    </row>
    <row r="236" spans="1:24" x14ac:dyDescent="0.25">
      <c r="A236">
        <v>234</v>
      </c>
      <c r="B236">
        <v>15</v>
      </c>
      <c r="C236" t="s">
        <v>34</v>
      </c>
      <c r="D236" t="s">
        <v>593</v>
      </c>
      <c r="E236" t="s">
        <v>35</v>
      </c>
      <c r="F236" s="14" t="s">
        <v>35</v>
      </c>
      <c r="G236" t="s">
        <v>1052</v>
      </c>
      <c r="H236" s="23">
        <v>3</v>
      </c>
      <c r="I236" s="14" t="str">
        <f>TEXT(Tabelle2[[#This Row],[category]],"00")&amp;TEXT(Tabelle2[[#This Row],[internal_order]],"00")</f>
        <v>1503</v>
      </c>
      <c r="J236" s="15">
        <v>2</v>
      </c>
      <c r="K236" s="15">
        <f>Tabelle2[[#This Row],[propertyID]]</f>
        <v>234</v>
      </c>
      <c r="L236" s="15">
        <v>5</v>
      </c>
      <c r="M236" s="15" t="s">
        <v>36</v>
      </c>
      <c r="O236" s="14">
        <v>1</v>
      </c>
      <c r="P236" s="14">
        <f>Tabelle2[[#This Row],[propertyID]]</f>
        <v>234</v>
      </c>
      <c r="Q236" s="14">
        <v>5</v>
      </c>
      <c r="R236" s="14" t="s">
        <v>36</v>
      </c>
      <c r="S236" t="s">
        <v>954</v>
      </c>
      <c r="T236" s="14"/>
      <c r="U236" s="14"/>
      <c r="V236" s="14"/>
      <c r="W236" s="14">
        <v>0</v>
      </c>
      <c r="X236" s="14"/>
    </row>
    <row r="237" spans="1:24" x14ac:dyDescent="0.25">
      <c r="A237">
        <v>235</v>
      </c>
      <c r="B237">
        <v>15</v>
      </c>
      <c r="C237" t="s">
        <v>929</v>
      </c>
      <c r="D237" t="s">
        <v>928</v>
      </c>
      <c r="F237" s="14"/>
      <c r="G237" t="s">
        <v>1053</v>
      </c>
      <c r="H237" s="23">
        <v>4</v>
      </c>
      <c r="I237" s="14" t="str">
        <f>TEXT(Tabelle2[[#This Row],[category]],"00")&amp;TEXT(Tabelle2[[#This Row],[internal_order]],"00")</f>
        <v>1504</v>
      </c>
      <c r="J237" s="15">
        <v>2</v>
      </c>
      <c r="K237" s="15">
        <f>Tabelle2[[#This Row],[propertyID]]</f>
        <v>235</v>
      </c>
      <c r="L237" s="15">
        <v>0</v>
      </c>
      <c r="M237" s="15" t="s">
        <v>930</v>
      </c>
      <c r="O237" s="14">
        <v>1</v>
      </c>
      <c r="P237" s="14">
        <f>Tabelle2[[#This Row],[propertyID]]</f>
        <v>235</v>
      </c>
      <c r="Q237" s="14">
        <v>0</v>
      </c>
      <c r="R237" s="14" t="s">
        <v>930</v>
      </c>
      <c r="S237" t="s">
        <v>954</v>
      </c>
      <c r="T237" s="14"/>
      <c r="U237" s="14"/>
      <c r="V237" s="14"/>
      <c r="W237" s="14">
        <v>0</v>
      </c>
      <c r="X237" s="14"/>
    </row>
    <row r="238" spans="1:24" x14ac:dyDescent="0.25">
      <c r="A238">
        <v>236</v>
      </c>
      <c r="B238">
        <v>16</v>
      </c>
      <c r="C238" t="s">
        <v>1276</v>
      </c>
      <c r="D238" t="s">
        <v>1280</v>
      </c>
      <c r="E238" t="s">
        <v>326</v>
      </c>
      <c r="F238" s="14" t="s">
        <v>924</v>
      </c>
      <c r="G238" t="s">
        <v>1052</v>
      </c>
      <c r="H238" s="23">
        <v>1</v>
      </c>
      <c r="I238" s="14" t="str">
        <f>TEXT(Tabelle2[[#This Row],[category]],"00")&amp;TEXT(Tabelle2[[#This Row],[internal_order]],"00")</f>
        <v>1601</v>
      </c>
      <c r="J238" s="15">
        <v>2</v>
      </c>
      <c r="K238" s="15">
        <f>Tabelle2[[#This Row],[propertyID]]</f>
        <v>236</v>
      </c>
      <c r="L238" s="15">
        <v>104</v>
      </c>
      <c r="M238" s="15"/>
      <c r="O238" s="14"/>
      <c r="P238" s="14">
        <f>Tabelle2[[#This Row],[propertyID]]</f>
        <v>236</v>
      </c>
      <c r="Q238" s="14"/>
      <c r="R238" s="14"/>
      <c r="S238" t="s">
        <v>1272</v>
      </c>
      <c r="T238" s="14"/>
      <c r="U238" s="14"/>
      <c r="V238" s="14"/>
      <c r="W238" s="14">
        <v>0</v>
      </c>
      <c r="X238" s="14"/>
    </row>
    <row r="239" spans="1:24" x14ac:dyDescent="0.25">
      <c r="A239">
        <v>237</v>
      </c>
      <c r="B239">
        <v>16</v>
      </c>
      <c r="C239" t="s">
        <v>1277</v>
      </c>
      <c r="D239" t="s">
        <v>1281</v>
      </c>
      <c r="E239" t="s">
        <v>326</v>
      </c>
      <c r="F239" s="14" t="s">
        <v>924</v>
      </c>
      <c r="G239" t="s">
        <v>1052</v>
      </c>
      <c r="H239" s="23">
        <v>2</v>
      </c>
      <c r="I239" s="14" t="str">
        <f>TEXT(Tabelle2[[#This Row],[category]],"00")&amp;TEXT(Tabelle2[[#This Row],[internal_order]],"00")</f>
        <v>1602</v>
      </c>
      <c r="J239" s="15">
        <v>2</v>
      </c>
      <c r="K239" s="15">
        <f>Tabelle2[[#This Row],[propertyID]]</f>
        <v>237</v>
      </c>
      <c r="L239" s="15">
        <v>15.04</v>
      </c>
      <c r="M239" s="15"/>
      <c r="O239" s="14"/>
      <c r="P239" s="14">
        <f>Tabelle2[[#This Row],[propertyID]]</f>
        <v>237</v>
      </c>
      <c r="Q239" s="14"/>
      <c r="R239" s="14"/>
      <c r="S239" t="s">
        <v>1272</v>
      </c>
      <c r="T239" s="14"/>
      <c r="U239" s="14"/>
      <c r="V239" s="14"/>
      <c r="W239" s="14">
        <v>0</v>
      </c>
      <c r="X239" s="14"/>
    </row>
    <row r="240" spans="1:24" x14ac:dyDescent="0.25">
      <c r="A240">
        <v>238</v>
      </c>
      <c r="B240">
        <v>16</v>
      </c>
      <c r="C240" t="s">
        <v>1239</v>
      </c>
      <c r="D240" t="s">
        <v>1267</v>
      </c>
      <c r="E240" t="s">
        <v>326</v>
      </c>
      <c r="F240" s="14" t="s">
        <v>924</v>
      </c>
      <c r="G240" t="s">
        <v>1052</v>
      </c>
      <c r="H240" s="23">
        <v>3</v>
      </c>
      <c r="I240" s="14" t="str">
        <f>TEXT(Tabelle2[[#This Row],[category]],"00")&amp;TEXT(Tabelle2[[#This Row],[internal_order]],"00")</f>
        <v>1603</v>
      </c>
      <c r="J240" s="15">
        <v>2</v>
      </c>
      <c r="K240" s="15">
        <f>Tabelle2[[#This Row],[propertyID]]</f>
        <v>238</v>
      </c>
      <c r="L240" s="15">
        <v>0.1348</v>
      </c>
      <c r="M240" s="15"/>
      <c r="O240" s="14"/>
      <c r="P240" s="14">
        <f>Tabelle2[[#This Row],[propertyID]]</f>
        <v>238</v>
      </c>
      <c r="Q240" s="14"/>
      <c r="R240" s="14"/>
      <c r="S240" t="s">
        <v>1272</v>
      </c>
      <c r="T240" s="14"/>
      <c r="U240" s="14"/>
      <c r="V240" s="14"/>
      <c r="W240" s="14">
        <v>0</v>
      </c>
      <c r="X240" s="14"/>
    </row>
    <row r="241" spans="1:24" x14ac:dyDescent="0.25">
      <c r="A241">
        <v>239</v>
      </c>
      <c r="B241">
        <v>16</v>
      </c>
      <c r="C241" t="s">
        <v>1236</v>
      </c>
      <c r="D241" t="s">
        <v>1265</v>
      </c>
      <c r="E241" t="s">
        <v>326</v>
      </c>
      <c r="F241" s="14" t="s">
        <v>924</v>
      </c>
      <c r="G241" t="s">
        <v>1052</v>
      </c>
      <c r="H241" s="23">
        <v>4</v>
      </c>
      <c r="I241" s="14" t="str">
        <f>TEXT(Tabelle2[[#This Row],[category]],"00")&amp;TEXT(Tabelle2[[#This Row],[internal_order]],"00")</f>
        <v>1604</v>
      </c>
      <c r="J241" s="15">
        <v>2</v>
      </c>
      <c r="K241" s="15">
        <f>Tabelle2[[#This Row],[propertyID]]</f>
        <v>239</v>
      </c>
      <c r="L241" s="15">
        <v>76.599999999999994</v>
      </c>
      <c r="M241" s="15"/>
      <c r="O241" s="14"/>
      <c r="P241" s="14">
        <f>Tabelle2[[#This Row],[propertyID]]</f>
        <v>239</v>
      </c>
      <c r="Q241" s="14"/>
      <c r="R241" s="14"/>
      <c r="S241" t="s">
        <v>1272</v>
      </c>
      <c r="T241" s="14"/>
      <c r="U241" s="14"/>
      <c r="V241" s="14"/>
      <c r="W241" s="14">
        <v>0</v>
      </c>
      <c r="X241" s="14"/>
    </row>
    <row r="242" spans="1:24" x14ac:dyDescent="0.25">
      <c r="A242">
        <v>240</v>
      </c>
      <c r="B242">
        <v>16</v>
      </c>
      <c r="C242" t="s">
        <v>1238</v>
      </c>
      <c r="D242" t="s">
        <v>1266</v>
      </c>
      <c r="E242" t="s">
        <v>326</v>
      </c>
      <c r="F242" s="14" t="s">
        <v>924</v>
      </c>
      <c r="G242" t="s">
        <v>1052</v>
      </c>
      <c r="H242" s="23">
        <v>5</v>
      </c>
      <c r="I242" s="14" t="str">
        <f>TEXT(Tabelle2[[#This Row],[category]],"00")&amp;TEXT(Tabelle2[[#This Row],[internal_order]],"00")</f>
        <v>1605</v>
      </c>
      <c r="J242" s="15">
        <v>2</v>
      </c>
      <c r="K242" s="15">
        <f>Tabelle2[[#This Row],[propertyID]]</f>
        <v>240</v>
      </c>
      <c r="L242" s="15">
        <v>5.4630000000000001</v>
      </c>
      <c r="M242" s="15"/>
      <c r="O242" s="14"/>
      <c r="P242" s="14">
        <f>Tabelle2[[#This Row],[propertyID]]</f>
        <v>240</v>
      </c>
      <c r="Q242" s="14"/>
      <c r="R242" s="14"/>
      <c r="S242" t="s">
        <v>1272</v>
      </c>
      <c r="T242" s="14"/>
      <c r="U242" s="14"/>
      <c r="V242" s="14"/>
      <c r="W242" s="14">
        <v>0</v>
      </c>
      <c r="X242" s="14"/>
    </row>
    <row r="243" spans="1:24" x14ac:dyDescent="0.25">
      <c r="A243">
        <v>241</v>
      </c>
      <c r="B243">
        <v>16</v>
      </c>
      <c r="C243" t="s">
        <v>1231</v>
      </c>
      <c r="D243" t="s">
        <v>1260</v>
      </c>
      <c r="E243" t="s">
        <v>26</v>
      </c>
      <c r="F243" s="14" t="s">
        <v>26</v>
      </c>
      <c r="G243" t="s">
        <v>1052</v>
      </c>
      <c r="H243" s="23">
        <v>6</v>
      </c>
      <c r="I243" s="14" t="str">
        <f>TEXT(Tabelle2[[#This Row],[category]],"00")&amp;TEXT(Tabelle2[[#This Row],[internal_order]],"00")</f>
        <v>1606</v>
      </c>
      <c r="J243" s="15">
        <v>2</v>
      </c>
      <c r="K243" s="15">
        <f>Tabelle2[[#This Row],[propertyID]]</f>
        <v>241</v>
      </c>
      <c r="L243" s="15">
        <v>6</v>
      </c>
      <c r="M243" s="15" t="s">
        <v>1253</v>
      </c>
      <c r="O243" s="14"/>
      <c r="P243" s="14">
        <f>Tabelle2[[#This Row],[propertyID]]</f>
        <v>241</v>
      </c>
      <c r="Q243" s="14"/>
      <c r="R243" s="14"/>
      <c r="S243" t="s">
        <v>1272</v>
      </c>
      <c r="T243" s="14"/>
      <c r="U243" s="14"/>
      <c r="V243" s="14"/>
      <c r="W243" s="14">
        <v>0</v>
      </c>
      <c r="X243" s="14"/>
    </row>
    <row r="244" spans="1:24" x14ac:dyDescent="0.25">
      <c r="A244">
        <v>242</v>
      </c>
      <c r="B244">
        <v>16</v>
      </c>
      <c r="C244" t="s">
        <v>1233</v>
      </c>
      <c r="D244" t="s">
        <v>1261</v>
      </c>
      <c r="E244" t="s">
        <v>26</v>
      </c>
      <c r="F244" s="14" t="s">
        <v>26</v>
      </c>
      <c r="G244" t="s">
        <v>1052</v>
      </c>
      <c r="H244" s="23">
        <v>7</v>
      </c>
      <c r="I244" s="14" t="str">
        <f>TEXT(Tabelle2[[#This Row],[category]],"00")&amp;TEXT(Tabelle2[[#This Row],[internal_order]],"00")</f>
        <v>1607</v>
      </c>
      <c r="J244" s="15">
        <v>2</v>
      </c>
      <c r="K244" s="15">
        <f>Tabelle2[[#This Row],[propertyID]]</f>
        <v>242</v>
      </c>
      <c r="L244" s="15">
        <v>4</v>
      </c>
      <c r="M244" s="15" t="s">
        <v>1254</v>
      </c>
      <c r="O244" s="14"/>
      <c r="P244" s="14">
        <f>Tabelle2[[#This Row],[propertyID]]</f>
        <v>242</v>
      </c>
      <c r="Q244" s="14"/>
      <c r="R244" s="14"/>
      <c r="S244" t="s">
        <v>1272</v>
      </c>
      <c r="T244" s="14"/>
      <c r="U244" s="14"/>
      <c r="V244" s="14"/>
      <c r="W244" s="14">
        <v>0</v>
      </c>
      <c r="X244" s="14"/>
    </row>
    <row r="245" spans="1:24" x14ac:dyDescent="0.25">
      <c r="A245">
        <v>243</v>
      </c>
      <c r="B245">
        <v>16</v>
      </c>
      <c r="C245" t="s">
        <v>1273</v>
      </c>
      <c r="D245" t="s">
        <v>1275</v>
      </c>
      <c r="E245" t="s">
        <v>26</v>
      </c>
      <c r="F245" s="14" t="s">
        <v>26</v>
      </c>
      <c r="G245" t="s">
        <v>1052</v>
      </c>
      <c r="H245" s="23">
        <v>8</v>
      </c>
      <c r="I245" s="14" t="str">
        <f>TEXT(Tabelle2[[#This Row],[category]],"00")&amp;TEXT(Tabelle2[[#This Row],[internal_order]],"00")</f>
        <v>1608</v>
      </c>
      <c r="J245" s="15">
        <v>2</v>
      </c>
      <c r="K245" s="15">
        <f>Tabelle2[[#This Row],[propertyID]]</f>
        <v>243</v>
      </c>
      <c r="L245" s="15">
        <v>0.31059999999999999</v>
      </c>
      <c r="M245" s="15" t="s">
        <v>1274</v>
      </c>
      <c r="O245" s="14"/>
      <c r="P245" s="14">
        <f>Tabelle2[[#This Row],[propertyID]]</f>
        <v>243</v>
      </c>
      <c r="Q245" s="14"/>
      <c r="R245" s="14"/>
      <c r="S245" t="s">
        <v>1272</v>
      </c>
      <c r="T245" s="14"/>
      <c r="U245" s="14"/>
      <c r="V245" s="14"/>
      <c r="W245" s="14">
        <v>0</v>
      </c>
      <c r="X245" s="14"/>
    </row>
    <row r="246" spans="1:24" x14ac:dyDescent="0.25">
      <c r="A246">
        <v>244</v>
      </c>
      <c r="B246">
        <v>16</v>
      </c>
      <c r="C246" t="s">
        <v>1240</v>
      </c>
      <c r="D246" t="s">
        <v>1268</v>
      </c>
      <c r="E246" t="s">
        <v>41</v>
      </c>
      <c r="F246" s="14" t="s">
        <v>922</v>
      </c>
      <c r="G246" t="s">
        <v>1052</v>
      </c>
      <c r="H246" s="23">
        <v>9</v>
      </c>
      <c r="I246" s="14" t="str">
        <f>TEXT(Tabelle2[[#This Row],[category]],"00")&amp;TEXT(Tabelle2[[#This Row],[internal_order]],"00")</f>
        <v>1609</v>
      </c>
      <c r="J246" s="15">
        <v>2</v>
      </c>
      <c r="K246" s="15">
        <f>Tabelle2[[#This Row],[propertyID]]</f>
        <v>244</v>
      </c>
      <c r="L246" s="15">
        <v>21.29</v>
      </c>
      <c r="M246" s="15"/>
      <c r="O246" s="14"/>
      <c r="P246" s="14">
        <f>Tabelle2[[#This Row],[propertyID]]</f>
        <v>244</v>
      </c>
      <c r="Q246" s="14"/>
      <c r="R246" s="14"/>
      <c r="S246" t="s">
        <v>1272</v>
      </c>
      <c r="T246" s="14"/>
      <c r="U246" s="14"/>
      <c r="V246" s="14"/>
      <c r="W246" s="14">
        <v>0</v>
      </c>
      <c r="X246" s="14"/>
    </row>
    <row r="247" spans="1:24" x14ac:dyDescent="0.25">
      <c r="A247">
        <v>245</v>
      </c>
      <c r="B247">
        <v>16</v>
      </c>
      <c r="C247" t="s">
        <v>1278</v>
      </c>
      <c r="D247" t="s">
        <v>1279</v>
      </c>
      <c r="E247" t="s">
        <v>326</v>
      </c>
      <c r="F247" s="14" t="s">
        <v>924</v>
      </c>
      <c r="G247" t="s">
        <v>1052</v>
      </c>
      <c r="H247" s="23">
        <v>10</v>
      </c>
      <c r="I247" s="14" t="str">
        <f>TEXT(Tabelle2[[#This Row],[category]],"00")&amp;TEXT(Tabelle2[[#This Row],[internal_order]],"00")</f>
        <v>1610</v>
      </c>
      <c r="J247" s="15">
        <v>2</v>
      </c>
      <c r="K247" s="15">
        <f>Tabelle2[[#This Row],[propertyID]]</f>
        <v>245</v>
      </c>
      <c r="L247" s="15">
        <v>19.579999999999998</v>
      </c>
      <c r="M247" s="15"/>
      <c r="O247" s="14"/>
      <c r="P247" s="14">
        <f>Tabelle2[[#This Row],[propertyID]]</f>
        <v>245</v>
      </c>
      <c r="Q247" s="14"/>
      <c r="R247" s="14"/>
      <c r="S247" t="s">
        <v>1272</v>
      </c>
      <c r="T247" s="14"/>
      <c r="U247" s="14"/>
      <c r="V247" s="14"/>
      <c r="W247" s="14">
        <v>0</v>
      </c>
      <c r="X247" s="14"/>
    </row>
    <row r="248" spans="1:24" x14ac:dyDescent="0.25">
      <c r="A248">
        <v>246</v>
      </c>
      <c r="B248">
        <v>16</v>
      </c>
      <c r="C248" t="s">
        <v>1234</v>
      </c>
      <c r="D248" t="s">
        <v>1263</v>
      </c>
      <c r="E248" t="s">
        <v>41</v>
      </c>
      <c r="F248" s="14" t="s">
        <v>922</v>
      </c>
      <c r="G248" t="s">
        <v>1052</v>
      </c>
      <c r="H248" s="23">
        <v>11</v>
      </c>
      <c r="I248" s="14" t="str">
        <f>TEXT(Tabelle2[[#This Row],[category]],"00")&amp;TEXT(Tabelle2[[#This Row],[internal_order]],"00")</f>
        <v>1611</v>
      </c>
      <c r="J248" s="15">
        <v>2</v>
      </c>
      <c r="K248" s="15">
        <f>Tabelle2[[#This Row],[propertyID]]</f>
        <v>246</v>
      </c>
      <c r="L248" s="15">
        <v>1.6199999999999999E-3</v>
      </c>
      <c r="M248" s="15" t="s">
        <v>1255</v>
      </c>
      <c r="O248" s="14"/>
      <c r="P248" s="14">
        <f>Tabelle2[[#This Row],[propertyID]]</f>
        <v>246</v>
      </c>
      <c r="Q248" s="14"/>
      <c r="R248" s="14"/>
      <c r="S248" t="s">
        <v>1272</v>
      </c>
      <c r="T248" s="14"/>
      <c r="U248" s="14"/>
      <c r="V248" s="14"/>
      <c r="W248" s="14">
        <v>0</v>
      </c>
      <c r="X248" s="14"/>
    </row>
    <row r="249" spans="1:24" x14ac:dyDescent="0.25">
      <c r="A249">
        <v>247</v>
      </c>
      <c r="B249">
        <v>16</v>
      </c>
      <c r="C249" t="s">
        <v>1232</v>
      </c>
      <c r="D249" t="s">
        <v>1262</v>
      </c>
      <c r="E249" t="s">
        <v>41</v>
      </c>
      <c r="F249" s="14" t="s">
        <v>922</v>
      </c>
      <c r="G249" t="s">
        <v>1052</v>
      </c>
      <c r="H249" s="23">
        <v>12</v>
      </c>
      <c r="I249" s="14" t="str">
        <f>TEXT(Tabelle2[[#This Row],[category]],"00")&amp;TEXT(Tabelle2[[#This Row],[internal_order]],"00")</f>
        <v>1612</v>
      </c>
      <c r="J249" s="15">
        <v>2</v>
      </c>
      <c r="K249" s="15">
        <f>Tabelle2[[#This Row],[propertyID]]</f>
        <v>247</v>
      </c>
      <c r="L249" s="15">
        <v>1E-3</v>
      </c>
      <c r="M249" s="15" t="s">
        <v>1256</v>
      </c>
      <c r="O249" s="14"/>
      <c r="P249" s="14">
        <f>Tabelle2[[#This Row],[propertyID]]</f>
        <v>247</v>
      </c>
      <c r="Q249" s="14"/>
      <c r="R249" s="14"/>
      <c r="S249" t="s">
        <v>1272</v>
      </c>
      <c r="T249" s="14"/>
      <c r="U249" s="14"/>
      <c r="V249" s="14"/>
      <c r="W249" s="14">
        <v>0</v>
      </c>
      <c r="X249" s="14"/>
    </row>
    <row r="250" spans="1:24" x14ac:dyDescent="0.25">
      <c r="A250">
        <v>248</v>
      </c>
      <c r="B250">
        <v>16</v>
      </c>
      <c r="C250" t="s">
        <v>1283</v>
      </c>
      <c r="D250" t="s">
        <v>1286</v>
      </c>
      <c r="E250" t="s">
        <v>1288</v>
      </c>
      <c r="F250" s="14" t="s">
        <v>1508</v>
      </c>
      <c r="G250" t="s">
        <v>1052</v>
      </c>
      <c r="H250" s="23">
        <v>13</v>
      </c>
      <c r="I250" s="14" t="str">
        <f>TEXT(Tabelle2[[#This Row],[category]],"00")&amp;TEXT(Tabelle2[[#This Row],[internal_order]],"00")</f>
        <v>1613</v>
      </c>
      <c r="J250" s="15">
        <v>2</v>
      </c>
      <c r="K250" s="15">
        <f>Tabelle2[[#This Row],[propertyID]]</f>
        <v>248</v>
      </c>
      <c r="L250" s="15">
        <v>1.0730000000000001E-5</v>
      </c>
      <c r="M250" s="15"/>
      <c r="O250" s="14"/>
      <c r="P250" s="14">
        <f>Tabelle2[[#This Row],[propertyID]]</f>
        <v>248</v>
      </c>
      <c r="Q250" s="14"/>
      <c r="R250" s="14"/>
      <c r="S250" t="s">
        <v>1272</v>
      </c>
      <c r="T250" s="14"/>
      <c r="U250" s="14"/>
      <c r="V250" s="14"/>
      <c r="W250" s="14">
        <v>0</v>
      </c>
      <c r="X250" s="14"/>
    </row>
    <row r="251" spans="1:24" x14ac:dyDescent="0.25">
      <c r="A251">
        <v>249</v>
      </c>
      <c r="B251">
        <v>16</v>
      </c>
      <c r="C251" t="s">
        <v>1282</v>
      </c>
      <c r="D251" t="s">
        <v>1285</v>
      </c>
      <c r="E251" t="s">
        <v>1288</v>
      </c>
      <c r="F251" s="14" t="s">
        <v>1508</v>
      </c>
      <c r="G251" t="s">
        <v>1052</v>
      </c>
      <c r="H251" s="23">
        <v>14</v>
      </c>
      <c r="I251" s="14" t="str">
        <f>TEXT(Tabelle2[[#This Row],[category]],"00")&amp;TEXT(Tabelle2[[#This Row],[internal_order]],"00")</f>
        <v>1614</v>
      </c>
      <c r="J251" s="15">
        <v>2</v>
      </c>
      <c r="K251" s="15">
        <f>Tabelle2[[#This Row],[propertyID]]</f>
        <v>249</v>
      </c>
      <c r="L251" s="15">
        <v>5.1390000000000001E-5</v>
      </c>
      <c r="M251" s="15"/>
      <c r="O251" s="14"/>
      <c r="P251" s="14">
        <f>Tabelle2[[#This Row],[propertyID]]</f>
        <v>249</v>
      </c>
      <c r="Q251" s="14"/>
      <c r="R251" s="14"/>
      <c r="S251" t="s">
        <v>1272</v>
      </c>
      <c r="T251" s="14"/>
      <c r="U251" s="14"/>
      <c r="V251" s="14"/>
      <c r="W251" s="14">
        <v>0</v>
      </c>
      <c r="X251" s="14"/>
    </row>
    <row r="252" spans="1:24" x14ac:dyDescent="0.25">
      <c r="A252">
        <v>250</v>
      </c>
      <c r="B252">
        <v>16</v>
      </c>
      <c r="C252" t="s">
        <v>1252</v>
      </c>
      <c r="D252" t="s">
        <v>1264</v>
      </c>
      <c r="E252" t="s">
        <v>326</v>
      </c>
      <c r="F252" s="14" t="s">
        <v>924</v>
      </c>
      <c r="G252" t="s">
        <v>1052</v>
      </c>
      <c r="H252" s="23">
        <v>15</v>
      </c>
      <c r="I252" s="14" t="str">
        <f>TEXT(Tabelle2[[#This Row],[category]],"00")&amp;TEXT(Tabelle2[[#This Row],[internal_order]],"00")</f>
        <v>1615</v>
      </c>
      <c r="J252" s="15">
        <v>2</v>
      </c>
      <c r="K252" s="15">
        <f>Tabelle2[[#This Row],[propertyID]]</f>
        <v>250</v>
      </c>
      <c r="L252" s="15">
        <v>0.33029999999999998</v>
      </c>
      <c r="M252" s="15" t="s">
        <v>1257</v>
      </c>
      <c r="O252" s="14"/>
      <c r="P252" s="14">
        <f>Tabelle2[[#This Row],[propertyID]]</f>
        <v>250</v>
      </c>
      <c r="Q252" s="14"/>
      <c r="R252" s="14"/>
      <c r="S252" t="s">
        <v>1272</v>
      </c>
      <c r="T252" s="14"/>
      <c r="U252" s="14"/>
      <c r="V252" s="14"/>
      <c r="W252" s="14">
        <v>0</v>
      </c>
      <c r="X252" s="14"/>
    </row>
    <row r="253" spans="1:24" x14ac:dyDescent="0.25">
      <c r="A253">
        <v>251</v>
      </c>
      <c r="B253">
        <v>16</v>
      </c>
      <c r="C253" t="s">
        <v>1284</v>
      </c>
      <c r="D253" t="s">
        <v>1287</v>
      </c>
      <c r="E253" t="s">
        <v>35</v>
      </c>
      <c r="F253" s="14" t="s">
        <v>35</v>
      </c>
      <c r="G253" t="s">
        <v>1052</v>
      </c>
      <c r="H253" s="23">
        <v>16</v>
      </c>
      <c r="I253" s="14" t="str">
        <f>TEXT(Tabelle2[[#This Row],[category]],"00")&amp;TEXT(Tabelle2[[#This Row],[internal_order]],"00")</f>
        <v>1616</v>
      </c>
      <c r="J253" s="15">
        <v>2</v>
      </c>
      <c r="K253" s="15">
        <f>Tabelle2[[#This Row],[propertyID]]</f>
        <v>251</v>
      </c>
      <c r="L253" s="15">
        <v>5.367</v>
      </c>
      <c r="M253" s="15"/>
      <c r="O253" s="14"/>
      <c r="P253" s="14">
        <f>Tabelle2[[#This Row],[propertyID]]</f>
        <v>251</v>
      </c>
      <c r="Q253" s="14"/>
      <c r="R253" s="14"/>
      <c r="S253" t="s">
        <v>1272</v>
      </c>
      <c r="T253" s="14"/>
      <c r="U253" s="14"/>
      <c r="V253" s="14"/>
      <c r="W253" s="14">
        <v>0</v>
      </c>
      <c r="X253" s="14"/>
    </row>
    <row r="254" spans="1:24" x14ac:dyDescent="0.25">
      <c r="A254">
        <v>252</v>
      </c>
      <c r="B254">
        <v>17</v>
      </c>
      <c r="C254" t="s">
        <v>89</v>
      </c>
      <c r="D254" t="s">
        <v>612</v>
      </c>
      <c r="E254" s="25" t="s">
        <v>326</v>
      </c>
      <c r="F254" s="26" t="s">
        <v>924</v>
      </c>
      <c r="G254" t="s">
        <v>1052</v>
      </c>
      <c r="H254" s="23">
        <v>1</v>
      </c>
      <c r="I254" s="14" t="str">
        <f>TEXT(Tabelle2[[#This Row],[category]],"00")&amp;TEXT(Tabelle2[[#This Row],[internal_order]],"00")</f>
        <v>1701</v>
      </c>
      <c r="J254" s="15">
        <v>2</v>
      </c>
      <c r="K254" s="15">
        <f>Tabelle2[[#This Row],[propertyID]]</f>
        <v>252</v>
      </c>
      <c r="L254" s="15">
        <v>1469</v>
      </c>
      <c r="M254" s="15" t="s">
        <v>90</v>
      </c>
      <c r="O254" s="14">
        <v>1</v>
      </c>
      <c r="P254" s="14">
        <f>Tabelle2[[#This Row],[propertyID]]</f>
        <v>252</v>
      </c>
      <c r="Q254" s="14">
        <v>1469</v>
      </c>
      <c r="R254" t="s">
        <v>90</v>
      </c>
      <c r="S254" s="14" t="s">
        <v>947</v>
      </c>
      <c r="T254" s="14"/>
      <c r="U254" s="14"/>
      <c r="V254" s="14"/>
      <c r="W254" s="14">
        <v>0</v>
      </c>
      <c r="X254" s="14"/>
    </row>
    <row r="255" spans="1:24" x14ac:dyDescent="0.25">
      <c r="A255">
        <v>253</v>
      </c>
      <c r="B255">
        <v>17</v>
      </c>
      <c r="C255" t="s">
        <v>87</v>
      </c>
      <c r="D255" t="s">
        <v>611</v>
      </c>
      <c r="E255" s="25" t="s">
        <v>326</v>
      </c>
      <c r="F255" s="26" t="s">
        <v>924</v>
      </c>
      <c r="G255" t="s">
        <v>1052</v>
      </c>
      <c r="H255" s="23">
        <v>2</v>
      </c>
      <c r="I255" s="14" t="str">
        <f>TEXT(Tabelle2[[#This Row],[category]],"00")&amp;TEXT(Tabelle2[[#This Row],[internal_order]],"00")</f>
        <v>1702</v>
      </c>
      <c r="J255" s="15">
        <v>2</v>
      </c>
      <c r="K255" s="15">
        <f>Tabelle2[[#This Row],[propertyID]]</f>
        <v>253</v>
      </c>
      <c r="L255" s="15">
        <v>2.5</v>
      </c>
      <c r="M255" s="15" t="s">
        <v>88</v>
      </c>
      <c r="O255" s="14">
        <v>1</v>
      </c>
      <c r="P255" s="14">
        <f>Tabelle2[[#This Row],[propertyID]]</f>
        <v>253</v>
      </c>
      <c r="Q255" s="14">
        <v>2.5</v>
      </c>
      <c r="R255" t="s">
        <v>88</v>
      </c>
      <c r="S255" s="14" t="s">
        <v>947</v>
      </c>
      <c r="T255" s="14"/>
      <c r="U255" s="14"/>
      <c r="V255" s="14"/>
      <c r="W255" s="14">
        <v>0</v>
      </c>
      <c r="X255" s="14"/>
    </row>
    <row r="256" spans="1:24" x14ac:dyDescent="0.25">
      <c r="A256">
        <v>254</v>
      </c>
      <c r="B256">
        <v>17</v>
      </c>
      <c r="C256" t="s">
        <v>857</v>
      </c>
      <c r="D256" t="s">
        <v>877</v>
      </c>
      <c r="E256" s="25" t="s">
        <v>38</v>
      </c>
      <c r="F256" s="26" t="s">
        <v>38</v>
      </c>
      <c r="G256" t="s">
        <v>1052</v>
      </c>
      <c r="H256" s="23">
        <v>3</v>
      </c>
      <c r="I256" s="14" t="str">
        <f>TEXT(Tabelle2[[#This Row],[category]],"00")&amp;TEXT(Tabelle2[[#This Row],[internal_order]],"00")</f>
        <v>1703</v>
      </c>
      <c r="J256" s="15">
        <v>2</v>
      </c>
      <c r="K256" s="15">
        <f>Tabelle2[[#This Row],[propertyID]]</f>
        <v>254</v>
      </c>
      <c r="L256" s="15">
        <v>11</v>
      </c>
      <c r="M256" s="15" t="s">
        <v>891</v>
      </c>
      <c r="O256" s="14">
        <v>1</v>
      </c>
      <c r="P256" s="14">
        <f>Tabelle2[[#This Row],[propertyID]]</f>
        <v>254</v>
      </c>
      <c r="Q256" s="14">
        <v>11</v>
      </c>
      <c r="R256" t="s">
        <v>891</v>
      </c>
      <c r="S256" s="14" t="s">
        <v>947</v>
      </c>
      <c r="T256" s="14"/>
      <c r="U256" s="14"/>
      <c r="V256" s="14"/>
      <c r="W256" s="14">
        <v>0</v>
      </c>
      <c r="X256" s="14"/>
    </row>
    <row r="257" spans="1:24" x14ac:dyDescent="0.25">
      <c r="A257">
        <v>255</v>
      </c>
      <c r="B257">
        <v>17</v>
      </c>
      <c r="C257" t="s">
        <v>579</v>
      </c>
      <c r="D257" t="s">
        <v>876</v>
      </c>
      <c r="E257" s="25" t="s">
        <v>38</v>
      </c>
      <c r="F257" s="26" t="s">
        <v>38</v>
      </c>
      <c r="G257" t="s">
        <v>1052</v>
      </c>
      <c r="H257" s="23">
        <v>4</v>
      </c>
      <c r="I257" s="14" t="str">
        <f>TEXT(Tabelle2[[#This Row],[category]],"00")&amp;TEXT(Tabelle2[[#This Row],[internal_order]],"00")</f>
        <v>1704</v>
      </c>
      <c r="J257" s="15">
        <v>2</v>
      </c>
      <c r="K257" s="15">
        <f>Tabelle2[[#This Row],[propertyID]]</f>
        <v>255</v>
      </c>
      <c r="L257" s="15">
        <v>5</v>
      </c>
      <c r="M257" s="15" t="s">
        <v>890</v>
      </c>
      <c r="O257" s="14">
        <v>1</v>
      </c>
      <c r="P257" s="14">
        <f>Tabelle2[[#This Row],[propertyID]]</f>
        <v>255</v>
      </c>
      <c r="Q257" s="14">
        <v>5</v>
      </c>
      <c r="R257" t="s">
        <v>890</v>
      </c>
      <c r="S257" s="14" t="s">
        <v>947</v>
      </c>
      <c r="T257" s="14"/>
      <c r="U257" s="14"/>
      <c r="V257" s="14"/>
      <c r="W257" s="14">
        <v>0</v>
      </c>
      <c r="X257" s="14"/>
    </row>
    <row r="258" spans="1:24" x14ac:dyDescent="0.25">
      <c r="A258">
        <v>256</v>
      </c>
      <c r="B258">
        <v>18</v>
      </c>
      <c r="C258" t="s">
        <v>118</v>
      </c>
      <c r="D258" t="s">
        <v>626</v>
      </c>
      <c r="E258" s="25" t="s">
        <v>38</v>
      </c>
      <c r="F258" s="26" t="s">
        <v>38</v>
      </c>
      <c r="G258" t="s">
        <v>1052</v>
      </c>
      <c r="H258" s="23">
        <v>1</v>
      </c>
      <c r="I258" s="14" t="str">
        <f>TEXT(Tabelle2[[#This Row],[category]],"00")&amp;TEXT(Tabelle2[[#This Row],[internal_order]],"00")</f>
        <v>1801</v>
      </c>
      <c r="J258" s="15">
        <v>2</v>
      </c>
      <c r="K258" s="15">
        <f>Tabelle2[[#This Row],[propertyID]]</f>
        <v>256</v>
      </c>
      <c r="L258" s="15">
        <v>1</v>
      </c>
      <c r="M258" s="15" t="s">
        <v>119</v>
      </c>
      <c r="O258" s="14">
        <v>1</v>
      </c>
      <c r="P258" s="14">
        <f>Tabelle2[[#This Row],[propertyID]]</f>
        <v>256</v>
      </c>
      <c r="Q258" s="14">
        <v>1</v>
      </c>
      <c r="R258" s="14" t="s">
        <v>119</v>
      </c>
      <c r="S258" t="s">
        <v>941</v>
      </c>
      <c r="T258" s="14"/>
      <c r="U258" s="14"/>
      <c r="V258" s="14"/>
      <c r="W258" s="14">
        <v>0</v>
      </c>
      <c r="X258" s="14"/>
    </row>
    <row r="259" spans="1:24" x14ac:dyDescent="0.25">
      <c r="A259">
        <v>257</v>
      </c>
      <c r="B259">
        <v>18</v>
      </c>
      <c r="C259" t="s">
        <v>120</v>
      </c>
      <c r="D259" t="s">
        <v>627</v>
      </c>
      <c r="E259" s="25" t="s">
        <v>38</v>
      </c>
      <c r="F259" s="26" t="s">
        <v>38</v>
      </c>
      <c r="G259" t="s">
        <v>1052</v>
      </c>
      <c r="H259" s="23">
        <v>2</v>
      </c>
      <c r="I259" s="14" t="str">
        <f>TEXT(Tabelle2[[#This Row],[category]],"00")&amp;TEXT(Tabelle2[[#This Row],[internal_order]],"00")</f>
        <v>1802</v>
      </c>
      <c r="J259" s="15">
        <v>2</v>
      </c>
      <c r="K259" s="15">
        <f>Tabelle2[[#This Row],[propertyID]]</f>
        <v>257</v>
      </c>
      <c r="L259" s="15">
        <v>1</v>
      </c>
      <c r="M259" s="15" t="s">
        <v>121</v>
      </c>
      <c r="O259" s="14">
        <v>1</v>
      </c>
      <c r="P259" s="14">
        <f>Tabelle2[[#This Row],[propertyID]]</f>
        <v>257</v>
      </c>
      <c r="Q259" s="14">
        <v>1</v>
      </c>
      <c r="R259" s="14" t="s">
        <v>121</v>
      </c>
      <c r="S259" t="s">
        <v>941</v>
      </c>
      <c r="T259" s="14"/>
      <c r="U259" s="14"/>
      <c r="V259" s="14"/>
      <c r="W259" s="14">
        <v>0</v>
      </c>
      <c r="X259" s="14"/>
    </row>
    <row r="260" spans="1:24" x14ac:dyDescent="0.25">
      <c r="A260">
        <v>258</v>
      </c>
      <c r="B260">
        <v>18</v>
      </c>
      <c r="C260" t="s">
        <v>323</v>
      </c>
      <c r="D260" t="s">
        <v>713</v>
      </c>
      <c r="E260" s="25" t="s">
        <v>21</v>
      </c>
      <c r="F260" s="26" t="s">
        <v>923</v>
      </c>
      <c r="G260" t="s">
        <v>1052</v>
      </c>
      <c r="H260" s="23">
        <v>3</v>
      </c>
      <c r="I260" s="14" t="str">
        <f>TEXT(Tabelle2[[#This Row],[category]],"00")&amp;TEXT(Tabelle2[[#This Row],[internal_order]],"00")</f>
        <v>1803</v>
      </c>
      <c r="J260" s="15">
        <v>2</v>
      </c>
      <c r="K260" s="15">
        <f>Tabelle2[[#This Row],[propertyID]]</f>
        <v>258</v>
      </c>
      <c r="L260" s="15">
        <v>0.1</v>
      </c>
      <c r="M260" s="15" t="s">
        <v>324</v>
      </c>
      <c r="O260" s="14">
        <v>1</v>
      </c>
      <c r="P260" s="14">
        <f>Tabelle2[[#This Row],[propertyID]]</f>
        <v>258</v>
      </c>
      <c r="Q260" s="14">
        <v>0.1</v>
      </c>
      <c r="R260" t="s">
        <v>324</v>
      </c>
      <c r="S260" s="14" t="s">
        <v>425</v>
      </c>
      <c r="T260" s="14"/>
      <c r="U260" s="14"/>
      <c r="V260" s="14"/>
      <c r="W260" s="14">
        <v>0</v>
      </c>
      <c r="X260" s="14"/>
    </row>
    <row r="261" spans="1:24" x14ac:dyDescent="0.25">
      <c r="A261">
        <v>259</v>
      </c>
      <c r="B261">
        <v>18</v>
      </c>
      <c r="C261" t="s">
        <v>321</v>
      </c>
      <c r="D261" t="s">
        <v>712</v>
      </c>
      <c r="E261" s="25" t="s">
        <v>21</v>
      </c>
      <c r="F261" s="26" t="s">
        <v>923</v>
      </c>
      <c r="G261" t="s">
        <v>1052</v>
      </c>
      <c r="H261" s="23">
        <v>4</v>
      </c>
      <c r="I261" s="14" t="str">
        <f>TEXT(Tabelle2[[#This Row],[category]],"00")&amp;TEXT(Tabelle2[[#This Row],[internal_order]],"00")</f>
        <v>1804</v>
      </c>
      <c r="J261" s="15">
        <v>2</v>
      </c>
      <c r="K261" s="15">
        <f>Tabelle2[[#This Row],[propertyID]]</f>
        <v>259</v>
      </c>
      <c r="L261" s="15">
        <v>5</v>
      </c>
      <c r="M261" s="15" t="s">
        <v>322</v>
      </c>
      <c r="O261" s="14">
        <v>1</v>
      </c>
      <c r="P261" s="14">
        <f>Tabelle2[[#This Row],[propertyID]]</f>
        <v>259</v>
      </c>
      <c r="Q261" s="14">
        <v>5</v>
      </c>
      <c r="R261" t="s">
        <v>322</v>
      </c>
      <c r="S261" s="14" t="s">
        <v>425</v>
      </c>
      <c r="T261" s="14"/>
      <c r="U261" s="14"/>
      <c r="V261" s="14"/>
      <c r="W261" s="14">
        <v>0</v>
      </c>
      <c r="X261" s="14"/>
    </row>
    <row r="262" spans="1:24" x14ac:dyDescent="0.25">
      <c r="A262">
        <v>260</v>
      </c>
      <c r="B262">
        <v>18</v>
      </c>
      <c r="C262" t="s">
        <v>301</v>
      </c>
      <c r="D262" t="s">
        <v>706</v>
      </c>
      <c r="E262" s="25" t="s">
        <v>10</v>
      </c>
      <c r="F262" s="26" t="s">
        <v>925</v>
      </c>
      <c r="G262" t="s">
        <v>1052</v>
      </c>
      <c r="H262" s="23">
        <v>5</v>
      </c>
      <c r="I262" s="14" t="str">
        <f>TEXT(Tabelle2[[#This Row],[category]],"00")&amp;TEXT(Tabelle2[[#This Row],[internal_order]],"00")</f>
        <v>1805</v>
      </c>
      <c r="J262" s="15">
        <v>2</v>
      </c>
      <c r="K262" s="15">
        <f>Tabelle2[[#This Row],[propertyID]]</f>
        <v>260</v>
      </c>
      <c r="L262" s="15">
        <v>20</v>
      </c>
      <c r="M262" s="15" t="s">
        <v>302</v>
      </c>
      <c r="O262" s="14">
        <v>1</v>
      </c>
      <c r="P262" s="14">
        <f>Tabelle2[[#This Row],[propertyID]]</f>
        <v>260</v>
      </c>
      <c r="Q262" s="14">
        <v>20</v>
      </c>
      <c r="R262" t="s">
        <v>302</v>
      </c>
      <c r="S262" s="14" t="s">
        <v>425</v>
      </c>
      <c r="T262" s="14"/>
      <c r="U262" s="14"/>
      <c r="V262" s="14"/>
      <c r="W262" s="14">
        <v>0</v>
      </c>
      <c r="X262" s="14"/>
    </row>
    <row r="263" spans="1:24" x14ac:dyDescent="0.25">
      <c r="A263">
        <v>261</v>
      </c>
      <c r="B263">
        <v>18</v>
      </c>
      <c r="C263" t="s">
        <v>307</v>
      </c>
      <c r="D263" t="s">
        <v>709</v>
      </c>
      <c r="E263" s="25" t="s">
        <v>10</v>
      </c>
      <c r="F263" s="26" t="s">
        <v>925</v>
      </c>
      <c r="G263" t="s">
        <v>1052</v>
      </c>
      <c r="H263" s="23">
        <v>6</v>
      </c>
      <c r="I263" s="14" t="str">
        <f>TEXT(Tabelle2[[#This Row],[category]],"00")&amp;TEXT(Tabelle2[[#This Row],[internal_order]],"00")</f>
        <v>1806</v>
      </c>
      <c r="J263" s="15">
        <v>2</v>
      </c>
      <c r="K263" s="15">
        <f>Tabelle2[[#This Row],[propertyID]]</f>
        <v>261</v>
      </c>
      <c r="L263" s="15">
        <v>2</v>
      </c>
      <c r="M263" s="15" t="s">
        <v>308</v>
      </c>
      <c r="O263" s="14">
        <v>1</v>
      </c>
      <c r="P263" s="14">
        <f>Tabelle2[[#This Row],[propertyID]]</f>
        <v>261</v>
      </c>
      <c r="Q263" s="14">
        <v>2</v>
      </c>
      <c r="R263" t="s">
        <v>308</v>
      </c>
      <c r="S263" s="14" t="s">
        <v>425</v>
      </c>
      <c r="T263" s="14"/>
      <c r="U263" s="14"/>
      <c r="V263" s="14"/>
      <c r="W263" s="14">
        <v>0</v>
      </c>
      <c r="X263" s="14"/>
    </row>
    <row r="264" spans="1:24" x14ac:dyDescent="0.25">
      <c r="A264">
        <v>262</v>
      </c>
      <c r="B264">
        <v>18</v>
      </c>
      <c r="C264" t="s">
        <v>309</v>
      </c>
      <c r="D264" t="s">
        <v>710</v>
      </c>
      <c r="E264" s="25" t="s">
        <v>10</v>
      </c>
      <c r="F264" s="26" t="s">
        <v>925</v>
      </c>
      <c r="G264" t="s">
        <v>1052</v>
      </c>
      <c r="H264" s="23">
        <v>7</v>
      </c>
      <c r="I264" s="14" t="str">
        <f>TEXT(Tabelle2[[#This Row],[category]],"00")&amp;TEXT(Tabelle2[[#This Row],[internal_order]],"00")</f>
        <v>1807</v>
      </c>
      <c r="J264" s="15">
        <v>2</v>
      </c>
      <c r="K264" s="15">
        <f>Tabelle2[[#This Row],[propertyID]]</f>
        <v>262</v>
      </c>
      <c r="L264" s="15">
        <v>27</v>
      </c>
      <c r="M264" s="15" t="s">
        <v>310</v>
      </c>
      <c r="O264" s="14">
        <v>1</v>
      </c>
      <c r="P264" s="14">
        <f>Tabelle2[[#This Row],[propertyID]]</f>
        <v>262</v>
      </c>
      <c r="Q264" s="14">
        <v>27</v>
      </c>
      <c r="R264" t="s">
        <v>310</v>
      </c>
      <c r="S264" s="14" t="s">
        <v>425</v>
      </c>
      <c r="T264" s="14"/>
      <c r="U264" s="14"/>
      <c r="V264" s="14"/>
      <c r="W264" s="14">
        <v>0</v>
      </c>
      <c r="X264" s="14"/>
    </row>
    <row r="265" spans="1:24" x14ac:dyDescent="0.25">
      <c r="A265">
        <v>263</v>
      </c>
      <c r="B265">
        <v>18</v>
      </c>
      <c r="C265" t="s">
        <v>305</v>
      </c>
      <c r="D265" t="s">
        <v>708</v>
      </c>
      <c r="E265" s="25" t="s">
        <v>10</v>
      </c>
      <c r="F265" s="26" t="s">
        <v>925</v>
      </c>
      <c r="G265" t="s">
        <v>1052</v>
      </c>
      <c r="H265" s="23">
        <v>8</v>
      </c>
      <c r="I265" s="14" t="str">
        <f>TEXT(Tabelle2[[#This Row],[category]],"00")&amp;TEXT(Tabelle2[[#This Row],[internal_order]],"00")</f>
        <v>1808</v>
      </c>
      <c r="J265" s="15">
        <v>2</v>
      </c>
      <c r="K265" s="15">
        <f>Tabelle2[[#This Row],[propertyID]]</f>
        <v>263</v>
      </c>
      <c r="L265" s="15">
        <v>5</v>
      </c>
      <c r="M265" s="15" t="s">
        <v>306</v>
      </c>
      <c r="O265" s="14">
        <v>1</v>
      </c>
      <c r="P265" s="14">
        <f>Tabelle2[[#This Row],[propertyID]]</f>
        <v>263</v>
      </c>
      <c r="Q265" s="14">
        <v>5</v>
      </c>
      <c r="R265" t="s">
        <v>306</v>
      </c>
      <c r="S265" s="14" t="s">
        <v>425</v>
      </c>
      <c r="T265" s="14"/>
      <c r="U265" s="14"/>
      <c r="V265" s="14"/>
      <c r="W265" s="14">
        <v>0</v>
      </c>
      <c r="X265" s="14"/>
    </row>
    <row r="266" spans="1:24" x14ac:dyDescent="0.25">
      <c r="A266">
        <v>264</v>
      </c>
      <c r="B266">
        <v>18</v>
      </c>
      <c r="C266" t="s">
        <v>303</v>
      </c>
      <c r="D266" t="s">
        <v>707</v>
      </c>
      <c r="E266" s="25" t="s">
        <v>10</v>
      </c>
      <c r="F266" s="26" t="s">
        <v>925</v>
      </c>
      <c r="G266" t="s">
        <v>1052</v>
      </c>
      <c r="H266" s="23">
        <v>9</v>
      </c>
      <c r="I266" s="14" t="str">
        <f>TEXT(Tabelle2[[#This Row],[category]],"00")&amp;TEXT(Tabelle2[[#This Row],[internal_order]],"00")</f>
        <v>1809</v>
      </c>
      <c r="J266" s="15">
        <v>2</v>
      </c>
      <c r="K266" s="15">
        <f>Tabelle2[[#This Row],[propertyID]]</f>
        <v>264</v>
      </c>
      <c r="L266" s="15">
        <v>5</v>
      </c>
      <c r="M266" s="15" t="s">
        <v>304</v>
      </c>
      <c r="O266" s="14">
        <v>1</v>
      </c>
      <c r="P266" s="14">
        <f>Tabelle2[[#This Row],[propertyID]]</f>
        <v>264</v>
      </c>
      <c r="Q266" s="14">
        <v>5</v>
      </c>
      <c r="R266" t="s">
        <v>304</v>
      </c>
      <c r="S266" s="14" t="s">
        <v>425</v>
      </c>
      <c r="T266" s="14"/>
      <c r="U266" s="14"/>
      <c r="V266" s="14"/>
      <c r="W266" s="14">
        <v>0</v>
      </c>
      <c r="X266" s="14"/>
    </row>
    <row r="267" spans="1:24" x14ac:dyDescent="0.25">
      <c r="A267">
        <v>265</v>
      </c>
      <c r="B267">
        <v>18</v>
      </c>
      <c r="C267" t="s">
        <v>325</v>
      </c>
      <c r="D267" t="s">
        <v>714</v>
      </c>
      <c r="E267" s="25" t="s">
        <v>326</v>
      </c>
      <c r="F267" s="26" t="s">
        <v>924</v>
      </c>
      <c r="G267" t="s">
        <v>1052</v>
      </c>
      <c r="H267" s="23">
        <v>10</v>
      </c>
      <c r="I267" s="14" t="str">
        <f>TEXT(Tabelle2[[#This Row],[category]],"00")&amp;TEXT(Tabelle2[[#This Row],[internal_order]],"00")</f>
        <v>1810</v>
      </c>
      <c r="J267" s="15">
        <v>2</v>
      </c>
      <c r="K267" s="15">
        <f>Tabelle2[[#This Row],[propertyID]]</f>
        <v>265</v>
      </c>
      <c r="L267" s="15">
        <v>0.5</v>
      </c>
      <c r="M267" s="15" t="s">
        <v>327</v>
      </c>
      <c r="O267" s="14">
        <v>1</v>
      </c>
      <c r="P267" s="14">
        <f>Tabelle2[[#This Row],[propertyID]]</f>
        <v>265</v>
      </c>
      <c r="Q267" s="14">
        <v>0.5</v>
      </c>
      <c r="R267" t="s">
        <v>327</v>
      </c>
      <c r="S267" s="14" t="s">
        <v>425</v>
      </c>
      <c r="T267" s="14"/>
      <c r="U267" s="14"/>
      <c r="V267" s="14"/>
      <c r="W267" s="14">
        <v>0</v>
      </c>
      <c r="X267" s="14"/>
    </row>
    <row r="268" spans="1:24" x14ac:dyDescent="0.25">
      <c r="A268">
        <v>266</v>
      </c>
      <c r="B268">
        <v>18</v>
      </c>
      <c r="C268" t="s">
        <v>328</v>
      </c>
      <c r="D268" t="s">
        <v>715</v>
      </c>
      <c r="E268" s="25" t="s">
        <v>326</v>
      </c>
      <c r="F268" s="26" t="s">
        <v>924</v>
      </c>
      <c r="G268" t="s">
        <v>1052</v>
      </c>
      <c r="H268" s="23">
        <v>11</v>
      </c>
      <c r="I268" s="14" t="str">
        <f>TEXT(Tabelle2[[#This Row],[category]],"00")&amp;TEXT(Tabelle2[[#This Row],[internal_order]],"00")</f>
        <v>1811</v>
      </c>
      <c r="J268" s="15">
        <v>2</v>
      </c>
      <c r="K268" s="15">
        <f>Tabelle2[[#This Row],[propertyID]]</f>
        <v>266</v>
      </c>
      <c r="L268" s="15">
        <v>0.5</v>
      </c>
      <c r="M268" s="15" t="s">
        <v>329</v>
      </c>
      <c r="O268" s="14">
        <v>1</v>
      </c>
      <c r="P268" s="14">
        <f>Tabelle2[[#This Row],[propertyID]]</f>
        <v>266</v>
      </c>
      <c r="Q268" s="14">
        <v>0.5</v>
      </c>
      <c r="R268" t="s">
        <v>329</v>
      </c>
      <c r="S268" s="14" t="s">
        <v>425</v>
      </c>
      <c r="T268" s="14"/>
      <c r="U268" s="14"/>
      <c r="V268" s="14"/>
      <c r="W268" s="14">
        <v>0</v>
      </c>
      <c r="X268" s="14"/>
    </row>
    <row r="269" spans="1:24" x14ac:dyDescent="0.25">
      <c r="A269">
        <v>267</v>
      </c>
      <c r="B269">
        <v>18</v>
      </c>
      <c r="C269" t="s">
        <v>311</v>
      </c>
      <c r="D269" t="s">
        <v>711</v>
      </c>
      <c r="E269" s="25" t="s">
        <v>7</v>
      </c>
      <c r="F269" s="26" t="s">
        <v>1490</v>
      </c>
      <c r="G269" t="s">
        <v>1052</v>
      </c>
      <c r="H269" s="23">
        <v>12</v>
      </c>
      <c r="I269" s="14" t="str">
        <f>TEXT(Tabelle2[[#This Row],[category]],"00")&amp;TEXT(Tabelle2[[#This Row],[internal_order]],"00")</f>
        <v>1812</v>
      </c>
      <c r="J269" s="15">
        <v>2</v>
      </c>
      <c r="K269" s="15">
        <f>Tabelle2[[#This Row],[propertyID]]</f>
        <v>267</v>
      </c>
      <c r="L269" s="15">
        <v>1500</v>
      </c>
      <c r="M269" s="15" t="s">
        <v>312</v>
      </c>
      <c r="O269" s="14">
        <v>1</v>
      </c>
      <c r="P269" s="14">
        <f>Tabelle2[[#This Row],[propertyID]]</f>
        <v>267</v>
      </c>
      <c r="Q269" s="14">
        <v>1500</v>
      </c>
      <c r="R269" t="s">
        <v>312</v>
      </c>
      <c r="S269" s="14" t="s">
        <v>425</v>
      </c>
      <c r="T269" s="14"/>
      <c r="U269" s="14"/>
      <c r="V269" s="14"/>
      <c r="W269" s="14">
        <v>0</v>
      </c>
      <c r="X269" s="14"/>
    </row>
    <row r="270" spans="1:24" x14ac:dyDescent="0.25">
      <c r="A270">
        <v>268</v>
      </c>
      <c r="B270">
        <v>18</v>
      </c>
      <c r="C270" t="s">
        <v>319</v>
      </c>
      <c r="D270" t="s">
        <v>719</v>
      </c>
      <c r="E270" s="25" t="s">
        <v>35</v>
      </c>
      <c r="F270" s="26" t="s">
        <v>35</v>
      </c>
      <c r="G270" t="s">
        <v>1052</v>
      </c>
      <c r="H270" s="23">
        <v>13</v>
      </c>
      <c r="I270" s="14" t="str">
        <f>TEXT(Tabelle2[[#This Row],[category]],"00")&amp;TEXT(Tabelle2[[#This Row],[internal_order]],"00")</f>
        <v>1813</v>
      </c>
      <c r="J270" s="15">
        <v>2</v>
      </c>
      <c r="K270" s="15">
        <f>Tabelle2[[#This Row],[propertyID]]</f>
        <v>268</v>
      </c>
      <c r="L270" s="15">
        <v>4.1999999999999997E-3</v>
      </c>
      <c r="M270" s="15" t="s">
        <v>320</v>
      </c>
      <c r="O270" s="14">
        <v>1</v>
      </c>
      <c r="P270" s="14">
        <f>Tabelle2[[#This Row],[propertyID]]</f>
        <v>268</v>
      </c>
      <c r="Q270" s="14">
        <v>4.1999999999999997E-3</v>
      </c>
      <c r="R270" t="s">
        <v>320</v>
      </c>
      <c r="S270" s="14" t="s">
        <v>425</v>
      </c>
      <c r="T270" s="14"/>
      <c r="U270" s="14"/>
      <c r="V270" s="14"/>
      <c r="W270" s="14">
        <v>0</v>
      </c>
      <c r="X270" s="14"/>
    </row>
    <row r="271" spans="1:24" x14ac:dyDescent="0.25">
      <c r="A271">
        <v>269</v>
      </c>
      <c r="B271">
        <v>18</v>
      </c>
      <c r="C271" t="s">
        <v>313</v>
      </c>
      <c r="D271" t="s">
        <v>716</v>
      </c>
      <c r="E271" s="25" t="s">
        <v>35</v>
      </c>
      <c r="F271" s="26" t="s">
        <v>35</v>
      </c>
      <c r="G271" t="s">
        <v>1052</v>
      </c>
      <c r="H271" s="23">
        <v>14</v>
      </c>
      <c r="I271" s="14" t="str">
        <f>TEXT(Tabelle2[[#This Row],[category]],"00")&amp;TEXT(Tabelle2[[#This Row],[internal_order]],"00")</f>
        <v>1814</v>
      </c>
      <c r="J271" s="15">
        <v>2</v>
      </c>
      <c r="K271" s="15">
        <f>Tabelle2[[#This Row],[propertyID]]</f>
        <v>269</v>
      </c>
      <c r="L271" s="15">
        <v>2.5000000000000001E-3</v>
      </c>
      <c r="M271" s="15" t="s">
        <v>314</v>
      </c>
      <c r="O271" s="14">
        <v>1</v>
      </c>
      <c r="P271" s="14">
        <f>Tabelle2[[#This Row],[propertyID]]</f>
        <v>269</v>
      </c>
      <c r="Q271" s="14">
        <v>2.5000000000000001E-3</v>
      </c>
      <c r="R271" t="s">
        <v>314</v>
      </c>
      <c r="S271" s="14" t="s">
        <v>425</v>
      </c>
      <c r="T271" s="14"/>
      <c r="U271" s="14"/>
      <c r="V271" s="14"/>
      <c r="W271" s="14">
        <v>0</v>
      </c>
      <c r="X271" s="14"/>
    </row>
    <row r="272" spans="1:24" x14ac:dyDescent="0.25">
      <c r="A272">
        <v>270</v>
      </c>
      <c r="B272">
        <v>18</v>
      </c>
      <c r="C272" t="s">
        <v>317</v>
      </c>
      <c r="D272" t="s">
        <v>718</v>
      </c>
      <c r="E272" s="25" t="s">
        <v>35</v>
      </c>
      <c r="F272" s="26" t="s">
        <v>35</v>
      </c>
      <c r="G272" t="s">
        <v>1052</v>
      </c>
      <c r="H272" s="23">
        <v>15</v>
      </c>
      <c r="I272" s="14" t="str">
        <f>TEXT(Tabelle2[[#This Row],[category]],"00")&amp;TEXT(Tabelle2[[#This Row],[internal_order]],"00")</f>
        <v>1815</v>
      </c>
      <c r="J272" s="15">
        <v>2</v>
      </c>
      <c r="K272" s="15">
        <f>Tabelle2[[#This Row],[propertyID]]</f>
        <v>270</v>
      </c>
      <c r="L272" s="15">
        <v>4.1999999999999997E-3</v>
      </c>
      <c r="M272" s="15" t="s">
        <v>318</v>
      </c>
      <c r="O272" s="14">
        <v>1</v>
      </c>
      <c r="P272" s="14">
        <f>Tabelle2[[#This Row],[propertyID]]</f>
        <v>270</v>
      </c>
      <c r="Q272" s="14">
        <v>4.1999999999999997E-3</v>
      </c>
      <c r="R272" t="s">
        <v>318</v>
      </c>
      <c r="S272" s="14" t="s">
        <v>425</v>
      </c>
      <c r="T272" s="14"/>
      <c r="U272" s="14"/>
      <c r="V272" s="14"/>
      <c r="W272" s="14">
        <v>0</v>
      </c>
      <c r="X272" s="14"/>
    </row>
    <row r="273" spans="1:24" x14ac:dyDescent="0.25">
      <c r="A273">
        <v>271</v>
      </c>
      <c r="B273">
        <v>18</v>
      </c>
      <c r="C273" t="s">
        <v>315</v>
      </c>
      <c r="D273" t="s">
        <v>717</v>
      </c>
      <c r="E273" s="25" t="s">
        <v>35</v>
      </c>
      <c r="F273" s="26" t="s">
        <v>35</v>
      </c>
      <c r="G273" t="s">
        <v>1052</v>
      </c>
      <c r="H273" s="23">
        <v>16</v>
      </c>
      <c r="I273" s="14" t="str">
        <f>TEXT(Tabelle2[[#This Row],[category]],"00")&amp;TEXT(Tabelle2[[#This Row],[internal_order]],"00")</f>
        <v>1816</v>
      </c>
      <c r="J273" s="15">
        <v>2</v>
      </c>
      <c r="K273" s="15">
        <f>Tabelle2[[#This Row],[propertyID]]</f>
        <v>271</v>
      </c>
      <c r="L273" s="15">
        <v>4.1999999999999997E-3</v>
      </c>
      <c r="M273" s="15" t="s">
        <v>316</v>
      </c>
      <c r="O273" s="14">
        <v>1</v>
      </c>
      <c r="P273" s="14">
        <f>Tabelle2[[#This Row],[propertyID]]</f>
        <v>271</v>
      </c>
      <c r="Q273" s="14">
        <v>4.1999999999999997E-3</v>
      </c>
      <c r="R273" t="s">
        <v>316</v>
      </c>
      <c r="S273" s="14" t="s">
        <v>425</v>
      </c>
      <c r="T273" s="14"/>
      <c r="U273" s="14"/>
      <c r="V273" s="14"/>
      <c r="W273" s="14">
        <v>0</v>
      </c>
      <c r="X273" s="14"/>
    </row>
    <row r="274" spans="1:24" x14ac:dyDescent="0.25">
      <c r="A274">
        <v>272</v>
      </c>
      <c r="B274">
        <v>19</v>
      </c>
      <c r="C274" t="s">
        <v>355</v>
      </c>
      <c r="D274" t="s">
        <v>741</v>
      </c>
      <c r="E274" s="25" t="s">
        <v>356</v>
      </c>
      <c r="F274" s="26" t="s">
        <v>1509</v>
      </c>
      <c r="G274" t="s">
        <v>1052</v>
      </c>
      <c r="H274" s="23">
        <v>1</v>
      </c>
      <c r="I274" s="14" t="str">
        <f>TEXT(Tabelle2[[#This Row],[category]],"00")&amp;TEXT(Tabelle2[[#This Row],[internal_order]],"00")</f>
        <v>1901</v>
      </c>
      <c r="J274" s="15">
        <v>2</v>
      </c>
      <c r="K274" s="15">
        <f>Tabelle2[[#This Row],[propertyID]]</f>
        <v>272</v>
      </c>
      <c r="L274" s="15">
        <v>0.5</v>
      </c>
      <c r="M274" s="15" t="s">
        <v>357</v>
      </c>
      <c r="O274" s="14">
        <v>1</v>
      </c>
      <c r="P274" s="14">
        <f>Tabelle2[[#This Row],[propertyID]]</f>
        <v>272</v>
      </c>
      <c r="Q274" s="14">
        <v>0.5</v>
      </c>
      <c r="R274" t="s">
        <v>357</v>
      </c>
      <c r="S274" s="14" t="s">
        <v>948</v>
      </c>
      <c r="T274" s="14"/>
      <c r="U274" s="14"/>
      <c r="V274" s="14"/>
      <c r="W274" s="14">
        <v>0</v>
      </c>
      <c r="X274" s="14"/>
    </row>
    <row r="275" spans="1:24" x14ac:dyDescent="0.25">
      <c r="A275">
        <v>273</v>
      </c>
      <c r="B275">
        <v>19</v>
      </c>
      <c r="C275" t="s">
        <v>393</v>
      </c>
      <c r="D275" t="s">
        <v>752</v>
      </c>
      <c r="E275" s="25" t="s">
        <v>356</v>
      </c>
      <c r="F275" s="26" t="s">
        <v>1509</v>
      </c>
      <c r="G275" t="s">
        <v>1052</v>
      </c>
      <c r="H275" s="23">
        <v>2</v>
      </c>
      <c r="I275" s="14" t="str">
        <f>TEXT(Tabelle2[[#This Row],[category]],"00")&amp;TEXT(Tabelle2[[#This Row],[internal_order]],"00")</f>
        <v>1902</v>
      </c>
      <c r="J275" s="15">
        <v>2</v>
      </c>
      <c r="K275" s="15">
        <f>Tabelle2[[#This Row],[propertyID]]</f>
        <v>273</v>
      </c>
      <c r="L275" s="15">
        <v>1.1299999999999999</v>
      </c>
      <c r="M275" s="15" t="s">
        <v>394</v>
      </c>
      <c r="O275" s="14">
        <v>1</v>
      </c>
      <c r="P275" s="14">
        <f>Tabelle2[[#This Row],[propertyID]]</f>
        <v>273</v>
      </c>
      <c r="Q275" s="14">
        <v>1.1299999999999999</v>
      </c>
      <c r="R275" t="s">
        <v>394</v>
      </c>
      <c r="S275" s="14" t="s">
        <v>948</v>
      </c>
      <c r="T275" s="14"/>
      <c r="U275" s="14"/>
      <c r="V275" s="14"/>
      <c r="W275" s="14">
        <v>0</v>
      </c>
      <c r="X275" s="14"/>
    </row>
    <row r="276" spans="1:24" x14ac:dyDescent="0.25">
      <c r="A276">
        <v>274</v>
      </c>
      <c r="B276">
        <v>19</v>
      </c>
      <c r="C276" t="s">
        <v>387</v>
      </c>
      <c r="D276" t="s">
        <v>750</v>
      </c>
      <c r="E276" s="25" t="s">
        <v>356</v>
      </c>
      <c r="F276" s="26" t="s">
        <v>1509</v>
      </c>
      <c r="G276" t="s">
        <v>1052</v>
      </c>
      <c r="H276" s="23">
        <v>3</v>
      </c>
      <c r="I276" s="14" t="str">
        <f>TEXT(Tabelle2[[#This Row],[category]],"00")&amp;TEXT(Tabelle2[[#This Row],[internal_order]],"00")</f>
        <v>1903</v>
      </c>
      <c r="J276" s="15">
        <v>2</v>
      </c>
      <c r="K276" s="15">
        <f>Tabelle2[[#This Row],[propertyID]]</f>
        <v>274</v>
      </c>
      <c r="L276" s="15">
        <v>1.4</v>
      </c>
      <c r="M276" s="15" t="s">
        <v>388</v>
      </c>
      <c r="O276" s="14">
        <v>1</v>
      </c>
      <c r="P276" s="14">
        <f>Tabelle2[[#This Row],[propertyID]]</f>
        <v>274</v>
      </c>
      <c r="Q276" s="14">
        <v>1.4</v>
      </c>
      <c r="R276" t="s">
        <v>388</v>
      </c>
      <c r="S276" s="14" t="s">
        <v>948</v>
      </c>
      <c r="T276" s="14"/>
      <c r="U276" s="14"/>
      <c r="V276" s="14"/>
      <c r="W276" s="14">
        <v>0</v>
      </c>
      <c r="X276" s="14"/>
    </row>
    <row r="277" spans="1:24" x14ac:dyDescent="0.25">
      <c r="A277">
        <v>275</v>
      </c>
      <c r="B277">
        <v>19</v>
      </c>
      <c r="C277" t="s">
        <v>377</v>
      </c>
      <c r="D277" t="s">
        <v>746</v>
      </c>
      <c r="E277" s="25" t="s">
        <v>356</v>
      </c>
      <c r="F277" s="26" t="s">
        <v>1509</v>
      </c>
      <c r="G277" t="s">
        <v>1052</v>
      </c>
      <c r="H277" s="23">
        <v>4</v>
      </c>
      <c r="I277" s="14" t="str">
        <f>TEXT(Tabelle2[[#This Row],[category]],"00")&amp;TEXT(Tabelle2[[#This Row],[internal_order]],"00")</f>
        <v>1904</v>
      </c>
      <c r="J277" s="15">
        <v>2</v>
      </c>
      <c r="K277" s="15">
        <f>Tabelle2[[#This Row],[propertyID]]</f>
        <v>275</v>
      </c>
      <c r="L277" s="15">
        <v>0.13</v>
      </c>
      <c r="M277" s="15" t="s">
        <v>378</v>
      </c>
      <c r="O277" s="14">
        <v>1</v>
      </c>
      <c r="P277" s="14">
        <f>Tabelle2[[#This Row],[propertyID]]</f>
        <v>275</v>
      </c>
      <c r="Q277" s="14">
        <v>0.13</v>
      </c>
      <c r="R277" t="s">
        <v>378</v>
      </c>
      <c r="S277" s="14" t="s">
        <v>948</v>
      </c>
      <c r="T277" s="14"/>
      <c r="U277" s="14"/>
      <c r="V277" s="14"/>
      <c r="W277" s="14">
        <v>0</v>
      </c>
      <c r="X277" s="14"/>
    </row>
    <row r="278" spans="1:24" x14ac:dyDescent="0.25">
      <c r="A278">
        <v>276</v>
      </c>
      <c r="B278">
        <v>19</v>
      </c>
      <c r="C278" t="s">
        <v>347</v>
      </c>
      <c r="D278" t="s">
        <v>721</v>
      </c>
      <c r="E278" s="25" t="s">
        <v>348</v>
      </c>
      <c r="F278" s="26" t="s">
        <v>1510</v>
      </c>
      <c r="G278" t="s">
        <v>1052</v>
      </c>
      <c r="H278" s="23">
        <v>5</v>
      </c>
      <c r="I278" s="14" t="str">
        <f>TEXT(Tabelle2[[#This Row],[category]],"00")&amp;TEXT(Tabelle2[[#This Row],[internal_order]],"00")</f>
        <v>1905</v>
      </c>
      <c r="J278" s="15">
        <v>2</v>
      </c>
      <c r="K278" s="15">
        <f>Tabelle2[[#This Row],[propertyID]]</f>
        <v>276</v>
      </c>
      <c r="L278" s="15">
        <v>3700</v>
      </c>
      <c r="M278" s="15" t="s">
        <v>349</v>
      </c>
      <c r="O278" s="14">
        <v>1</v>
      </c>
      <c r="P278" s="14">
        <f>Tabelle2[[#This Row],[propertyID]]</f>
        <v>276</v>
      </c>
      <c r="Q278" s="14">
        <v>3700</v>
      </c>
      <c r="R278" t="s">
        <v>349</v>
      </c>
      <c r="S278" s="14" t="s">
        <v>948</v>
      </c>
      <c r="T278" s="14"/>
      <c r="U278" s="14"/>
      <c r="V278" s="14"/>
      <c r="W278" s="14">
        <v>0</v>
      </c>
      <c r="X278" s="14"/>
    </row>
    <row r="279" spans="1:24" x14ac:dyDescent="0.25">
      <c r="A279">
        <v>277</v>
      </c>
      <c r="B279">
        <v>19</v>
      </c>
      <c r="C279" t="s">
        <v>381</v>
      </c>
      <c r="D279" t="s">
        <v>726</v>
      </c>
      <c r="E279" s="25" t="s">
        <v>348</v>
      </c>
      <c r="F279" s="26" t="s">
        <v>1510</v>
      </c>
      <c r="G279" t="s">
        <v>1052</v>
      </c>
      <c r="H279" s="23">
        <v>6</v>
      </c>
      <c r="I279" s="14" t="str">
        <f>TEXT(Tabelle2[[#This Row],[category]],"00")&amp;TEXT(Tabelle2[[#This Row],[internal_order]],"00")</f>
        <v>1906</v>
      </c>
      <c r="J279" s="15">
        <v>2</v>
      </c>
      <c r="K279" s="15">
        <f>Tabelle2[[#This Row],[propertyID]]</f>
        <v>277</v>
      </c>
      <c r="L279" s="15">
        <v>2000</v>
      </c>
      <c r="M279" s="15" t="s">
        <v>382</v>
      </c>
      <c r="O279" s="14">
        <v>1</v>
      </c>
      <c r="P279" s="14">
        <f>Tabelle2[[#This Row],[propertyID]]</f>
        <v>277</v>
      </c>
      <c r="Q279" s="14">
        <v>2000</v>
      </c>
      <c r="R279" t="s">
        <v>382</v>
      </c>
      <c r="S279" s="14" t="s">
        <v>948</v>
      </c>
      <c r="T279" s="14"/>
      <c r="U279" s="14"/>
      <c r="V279" s="14"/>
      <c r="W279" s="14">
        <v>0</v>
      </c>
      <c r="X279" s="14"/>
    </row>
    <row r="280" spans="1:24" x14ac:dyDescent="0.25">
      <c r="A280">
        <v>278</v>
      </c>
      <c r="B280">
        <v>19</v>
      </c>
      <c r="C280" t="s">
        <v>330</v>
      </c>
      <c r="D280" t="s">
        <v>720</v>
      </c>
      <c r="E280" s="25" t="s">
        <v>331</v>
      </c>
      <c r="F280" s="26" t="s">
        <v>1510</v>
      </c>
      <c r="G280" t="s">
        <v>1052</v>
      </c>
      <c r="H280" s="23">
        <v>7</v>
      </c>
      <c r="I280" s="14" t="str">
        <f>TEXT(Tabelle2[[#This Row],[category]],"00")&amp;TEXT(Tabelle2[[#This Row],[internal_order]],"00")</f>
        <v>1907</v>
      </c>
      <c r="J280" s="15">
        <v>2</v>
      </c>
      <c r="K280" s="15">
        <f>Tabelle2[[#This Row],[propertyID]]</f>
        <v>278</v>
      </c>
      <c r="L280" s="15">
        <v>5000</v>
      </c>
      <c r="M280" s="15" t="s">
        <v>332</v>
      </c>
      <c r="O280" s="14">
        <v>1</v>
      </c>
      <c r="P280" s="14">
        <f>Tabelle2[[#This Row],[propertyID]]</f>
        <v>278</v>
      </c>
      <c r="Q280" s="14">
        <v>5000</v>
      </c>
      <c r="R280" t="s">
        <v>332</v>
      </c>
      <c r="S280" s="14" t="s">
        <v>948</v>
      </c>
      <c r="T280" s="14"/>
      <c r="U280" s="14"/>
      <c r="V280" s="14"/>
      <c r="W280" s="14">
        <v>0</v>
      </c>
      <c r="X280" s="14"/>
    </row>
    <row r="281" spans="1:24" x14ac:dyDescent="0.25">
      <c r="A281">
        <v>279</v>
      </c>
      <c r="B281">
        <v>19</v>
      </c>
      <c r="C281" t="s">
        <v>398</v>
      </c>
      <c r="D281" t="s">
        <v>730</v>
      </c>
      <c r="E281" s="25" t="s">
        <v>348</v>
      </c>
      <c r="F281" s="26" t="s">
        <v>1510</v>
      </c>
      <c r="G281" t="s">
        <v>1052</v>
      </c>
      <c r="H281" s="23">
        <v>8</v>
      </c>
      <c r="I281" s="14" t="str">
        <f>TEXT(Tabelle2[[#This Row],[category]],"00")&amp;TEXT(Tabelle2[[#This Row],[internal_order]],"00")</f>
        <v>1908</v>
      </c>
      <c r="J281" s="15">
        <v>2</v>
      </c>
      <c r="K281" s="15">
        <f>Tabelle2[[#This Row],[propertyID]]</f>
        <v>279</v>
      </c>
      <c r="L281" s="15">
        <v>4000</v>
      </c>
      <c r="M281" s="15" t="s">
        <v>399</v>
      </c>
      <c r="O281" s="14">
        <v>1</v>
      </c>
      <c r="P281" s="14">
        <f>Tabelle2[[#This Row],[propertyID]]</f>
        <v>279</v>
      </c>
      <c r="Q281" s="14">
        <v>4000</v>
      </c>
      <c r="R281" t="s">
        <v>399</v>
      </c>
      <c r="S281" s="14" t="s">
        <v>948</v>
      </c>
      <c r="T281" s="14"/>
      <c r="U281" s="14"/>
      <c r="V281" s="14"/>
      <c r="W281" s="14">
        <v>0</v>
      </c>
      <c r="X281" s="14"/>
    </row>
    <row r="282" spans="1:24" x14ac:dyDescent="0.25">
      <c r="A282">
        <v>280</v>
      </c>
      <c r="B282">
        <v>19</v>
      </c>
      <c r="C282" t="s">
        <v>368</v>
      </c>
      <c r="D282" t="s">
        <v>725</v>
      </c>
      <c r="E282" s="25" t="s">
        <v>348</v>
      </c>
      <c r="F282" s="26" t="s">
        <v>1510</v>
      </c>
      <c r="G282" t="s">
        <v>1052</v>
      </c>
      <c r="H282" s="23">
        <v>9</v>
      </c>
      <c r="I282" s="14" t="str">
        <f>TEXT(Tabelle2[[#This Row],[category]],"00")&amp;TEXT(Tabelle2[[#This Row],[internal_order]],"00")</f>
        <v>1909</v>
      </c>
      <c r="J282" s="15">
        <v>2</v>
      </c>
      <c r="K282" s="15">
        <f>Tabelle2[[#This Row],[propertyID]]</f>
        <v>280</v>
      </c>
      <c r="L282" s="15">
        <v>3700</v>
      </c>
      <c r="M282" s="15" t="s">
        <v>369</v>
      </c>
      <c r="O282" s="14">
        <v>1</v>
      </c>
      <c r="P282" s="14">
        <f>Tabelle2[[#This Row],[propertyID]]</f>
        <v>280</v>
      </c>
      <c r="Q282" s="14">
        <v>3700</v>
      </c>
      <c r="R282" t="s">
        <v>369</v>
      </c>
      <c r="S282" s="14" t="s">
        <v>948</v>
      </c>
      <c r="T282" s="14"/>
      <c r="U282" s="14"/>
      <c r="V282" s="14"/>
      <c r="W282" s="14">
        <v>0</v>
      </c>
      <c r="X282" s="14"/>
    </row>
    <row r="283" spans="1:24" x14ac:dyDescent="0.25">
      <c r="A283">
        <v>281</v>
      </c>
      <c r="B283">
        <v>19</v>
      </c>
      <c r="C283" t="s">
        <v>333</v>
      </c>
      <c r="D283" t="s">
        <v>734</v>
      </c>
      <c r="E283" s="25" t="s">
        <v>331</v>
      </c>
      <c r="F283" s="26" t="s">
        <v>1510</v>
      </c>
      <c r="G283" t="s">
        <v>1052</v>
      </c>
      <c r="H283" s="23">
        <v>10</v>
      </c>
      <c r="I283" s="14" t="str">
        <f>TEXT(Tabelle2[[#This Row],[category]],"00")&amp;TEXT(Tabelle2[[#This Row],[internal_order]],"00")</f>
        <v>1910</v>
      </c>
      <c r="J283" s="15">
        <v>2</v>
      </c>
      <c r="K283" s="15">
        <f>Tabelle2[[#This Row],[propertyID]]</f>
        <v>281</v>
      </c>
      <c r="L283" s="15">
        <v>1000</v>
      </c>
      <c r="M283" s="15" t="s">
        <v>334</v>
      </c>
      <c r="O283" s="14">
        <v>1</v>
      </c>
      <c r="P283" s="14">
        <f>Tabelle2[[#This Row],[propertyID]]</f>
        <v>281</v>
      </c>
      <c r="Q283" s="14">
        <v>1000</v>
      </c>
      <c r="R283" t="s">
        <v>334</v>
      </c>
      <c r="S283" s="14" t="s">
        <v>948</v>
      </c>
      <c r="T283" s="14"/>
      <c r="U283" s="14"/>
      <c r="V283" s="14"/>
      <c r="W283" s="14">
        <v>0</v>
      </c>
      <c r="X283" s="14"/>
    </row>
    <row r="284" spans="1:24" x14ac:dyDescent="0.25">
      <c r="A284">
        <v>282</v>
      </c>
      <c r="B284">
        <v>19</v>
      </c>
      <c r="C284" t="s">
        <v>421</v>
      </c>
      <c r="D284" t="s">
        <v>733</v>
      </c>
      <c r="E284" s="25" t="s">
        <v>422</v>
      </c>
      <c r="F284" s="26" t="s">
        <v>1510</v>
      </c>
      <c r="G284" t="s">
        <v>1052</v>
      </c>
      <c r="H284" s="23">
        <v>11</v>
      </c>
      <c r="I284" s="14" t="str">
        <f>TEXT(Tabelle2[[#This Row],[category]],"00")&amp;TEXT(Tabelle2[[#This Row],[internal_order]],"00")</f>
        <v>1911</v>
      </c>
      <c r="J284" s="15">
        <v>2</v>
      </c>
      <c r="K284" s="15">
        <f>Tabelle2[[#This Row],[propertyID]]</f>
        <v>282</v>
      </c>
      <c r="L284" s="15">
        <v>10</v>
      </c>
      <c r="M284" s="15" t="s">
        <v>423</v>
      </c>
      <c r="O284" s="14">
        <v>1</v>
      </c>
      <c r="P284" s="14">
        <f>Tabelle2[[#This Row],[propertyID]]</f>
        <v>282</v>
      </c>
      <c r="Q284" s="14">
        <v>10</v>
      </c>
      <c r="R284" t="s">
        <v>423</v>
      </c>
      <c r="S284" s="14" t="s">
        <v>948</v>
      </c>
      <c r="T284" s="14"/>
      <c r="U284" s="14"/>
      <c r="V284" s="14"/>
      <c r="W284" s="14">
        <v>0</v>
      </c>
      <c r="X284" s="14"/>
    </row>
    <row r="285" spans="1:24" x14ac:dyDescent="0.25">
      <c r="A285">
        <v>283</v>
      </c>
      <c r="B285">
        <v>19</v>
      </c>
      <c r="C285" t="s">
        <v>404</v>
      </c>
      <c r="D285" t="s">
        <v>754</v>
      </c>
      <c r="E285" s="25" t="s">
        <v>356</v>
      </c>
      <c r="F285" s="26" t="s">
        <v>1509</v>
      </c>
      <c r="G285" t="s">
        <v>1052</v>
      </c>
      <c r="H285" s="23">
        <v>12</v>
      </c>
      <c r="I285" s="14" t="str">
        <f>TEXT(Tabelle2[[#This Row],[category]],"00")&amp;TEXT(Tabelle2[[#This Row],[internal_order]],"00")</f>
        <v>1912</v>
      </c>
      <c r="J285" s="15">
        <v>2</v>
      </c>
      <c r="K285" s="15">
        <f>Tabelle2[[#This Row],[propertyID]]</f>
        <v>283</v>
      </c>
      <c r="L285" s="15">
        <v>7.6999999999999999E-2</v>
      </c>
      <c r="M285" s="15" t="s">
        <v>405</v>
      </c>
      <c r="O285" s="14">
        <v>1</v>
      </c>
      <c r="P285" s="14">
        <f>Tabelle2[[#This Row],[propertyID]]</f>
        <v>283</v>
      </c>
      <c r="Q285" s="14">
        <v>7.6999999999999999E-2</v>
      </c>
      <c r="R285" t="s">
        <v>405</v>
      </c>
      <c r="S285" s="14" t="s">
        <v>948</v>
      </c>
      <c r="T285" s="14"/>
      <c r="U285" s="14"/>
      <c r="V285" s="14"/>
      <c r="W285" s="14">
        <v>0</v>
      </c>
      <c r="X285" s="14"/>
    </row>
    <row r="286" spans="1:24" x14ac:dyDescent="0.25">
      <c r="A286">
        <v>284</v>
      </c>
      <c r="B286">
        <v>19</v>
      </c>
      <c r="C286" t="s">
        <v>416</v>
      </c>
      <c r="D286" t="s">
        <v>759</v>
      </c>
      <c r="E286" s="25" t="s">
        <v>417</v>
      </c>
      <c r="F286" s="26" t="s">
        <v>1511</v>
      </c>
      <c r="G286" t="s">
        <v>1052</v>
      </c>
      <c r="H286" s="23">
        <v>13</v>
      </c>
      <c r="I286" s="14" t="str">
        <f>TEXT(Tabelle2[[#This Row],[category]],"00")&amp;TEXT(Tabelle2[[#This Row],[internal_order]],"00")</f>
        <v>1913</v>
      </c>
      <c r="J286" s="15">
        <v>2</v>
      </c>
      <c r="K286" s="15">
        <f>Tabelle2[[#This Row],[propertyID]]</f>
        <v>284</v>
      </c>
      <c r="L286" s="15">
        <v>0.13900000000000001</v>
      </c>
      <c r="M286" s="15" t="s">
        <v>418</v>
      </c>
      <c r="O286" s="14">
        <v>1</v>
      </c>
      <c r="P286" s="14">
        <f>Tabelle2[[#This Row],[propertyID]]</f>
        <v>284</v>
      </c>
      <c r="Q286" s="14">
        <v>0.13900000000000001</v>
      </c>
      <c r="R286" t="s">
        <v>418</v>
      </c>
      <c r="S286" s="14" t="s">
        <v>948</v>
      </c>
      <c r="T286" s="14"/>
      <c r="U286" s="14"/>
      <c r="V286" s="14"/>
      <c r="W286" s="14">
        <v>0</v>
      </c>
      <c r="X286" s="14"/>
    </row>
    <row r="287" spans="1:24" x14ac:dyDescent="0.25">
      <c r="A287">
        <v>285</v>
      </c>
      <c r="B287">
        <v>19</v>
      </c>
      <c r="C287" t="s">
        <v>350</v>
      </c>
      <c r="D287" t="s">
        <v>749</v>
      </c>
      <c r="E287" s="25" t="s">
        <v>336</v>
      </c>
      <c r="F287" s="26" t="s">
        <v>336</v>
      </c>
      <c r="G287" t="s">
        <v>1052</v>
      </c>
      <c r="H287" s="23">
        <v>14</v>
      </c>
      <c r="I287" s="14" t="str">
        <f>TEXT(Tabelle2[[#This Row],[category]],"00")&amp;TEXT(Tabelle2[[#This Row],[internal_order]],"00")</f>
        <v>1914</v>
      </c>
      <c r="J287" s="15">
        <v>2</v>
      </c>
      <c r="K287" s="15">
        <f>Tabelle2[[#This Row],[propertyID]]</f>
        <v>285</v>
      </c>
      <c r="L287" s="15">
        <v>3.0000000000000001E-3</v>
      </c>
      <c r="M287" s="15" t="s">
        <v>351</v>
      </c>
      <c r="O287" s="14">
        <v>1</v>
      </c>
      <c r="P287" s="14">
        <f>Tabelle2[[#This Row],[propertyID]]</f>
        <v>285</v>
      </c>
      <c r="Q287" s="14">
        <v>3.0000000000000001E-3</v>
      </c>
      <c r="R287" t="s">
        <v>351</v>
      </c>
      <c r="S287" s="14" t="s">
        <v>948</v>
      </c>
      <c r="T287" s="14"/>
      <c r="U287" s="14"/>
      <c r="V287" s="14"/>
      <c r="W287" s="14">
        <v>0</v>
      </c>
      <c r="X287" s="14"/>
    </row>
    <row r="288" spans="1:24" x14ac:dyDescent="0.25">
      <c r="A288">
        <v>286</v>
      </c>
      <c r="B288">
        <v>19</v>
      </c>
      <c r="C288" t="s">
        <v>389</v>
      </c>
      <c r="D288" t="s">
        <v>751</v>
      </c>
      <c r="E288" s="25" t="s">
        <v>336</v>
      </c>
      <c r="F288" s="26" t="s">
        <v>336</v>
      </c>
      <c r="G288" t="s">
        <v>1052</v>
      </c>
      <c r="H288" s="23">
        <v>15</v>
      </c>
      <c r="I288" s="14" t="str">
        <f>TEXT(Tabelle2[[#This Row],[category]],"00")&amp;TEXT(Tabelle2[[#This Row],[internal_order]],"00")</f>
        <v>1915</v>
      </c>
      <c r="J288" s="15">
        <v>2</v>
      </c>
      <c r="K288" s="15">
        <f>Tabelle2[[#This Row],[propertyID]]</f>
        <v>286</v>
      </c>
      <c r="L288" s="15">
        <v>4.0000000000000001E-3</v>
      </c>
      <c r="M288" s="15" t="s">
        <v>390</v>
      </c>
      <c r="O288" s="14">
        <v>1</v>
      </c>
      <c r="P288" s="14">
        <f>Tabelle2[[#This Row],[propertyID]]</f>
        <v>286</v>
      </c>
      <c r="Q288" s="14">
        <v>4.0000000000000001E-3</v>
      </c>
      <c r="R288" t="s">
        <v>390</v>
      </c>
      <c r="S288" s="14" t="s">
        <v>948</v>
      </c>
      <c r="T288" s="14"/>
      <c r="U288" s="14"/>
      <c r="V288" s="14"/>
      <c r="W288" s="14">
        <v>0</v>
      </c>
      <c r="X288" s="14"/>
    </row>
    <row r="289" spans="1:24" x14ac:dyDescent="0.25">
      <c r="A289">
        <v>287</v>
      </c>
      <c r="B289">
        <v>19</v>
      </c>
      <c r="C289" t="s">
        <v>383</v>
      </c>
      <c r="D289" t="s">
        <v>748</v>
      </c>
      <c r="E289" s="25" t="s">
        <v>336</v>
      </c>
      <c r="F289" s="26" t="s">
        <v>336</v>
      </c>
      <c r="G289" t="s">
        <v>1052</v>
      </c>
      <c r="H289" s="23">
        <v>16</v>
      </c>
      <c r="I289" s="14" t="str">
        <f>TEXT(Tabelle2[[#This Row],[category]],"00")&amp;TEXT(Tabelle2[[#This Row],[internal_order]],"00")</f>
        <v>1916</v>
      </c>
      <c r="J289" s="15">
        <v>2</v>
      </c>
      <c r="K289" s="15">
        <f>Tabelle2[[#This Row],[propertyID]]</f>
        <v>287</v>
      </c>
      <c r="L289" s="15">
        <v>4.0000000000000001E-3</v>
      </c>
      <c r="M289" s="15" t="s">
        <v>384</v>
      </c>
      <c r="O289" s="14">
        <v>1</v>
      </c>
      <c r="P289" s="14">
        <f>Tabelle2[[#This Row],[propertyID]]</f>
        <v>287</v>
      </c>
      <c r="Q289" s="14">
        <v>4.0000000000000001E-3</v>
      </c>
      <c r="R289" t="s">
        <v>384</v>
      </c>
      <c r="S289" s="14" t="s">
        <v>948</v>
      </c>
      <c r="T289" s="14"/>
      <c r="U289" s="14"/>
      <c r="V289" s="14"/>
      <c r="W289" s="14">
        <v>0</v>
      </c>
      <c r="X289" s="14"/>
    </row>
    <row r="290" spans="1:24" x14ac:dyDescent="0.25">
      <c r="A290">
        <v>288</v>
      </c>
      <c r="B290">
        <v>19</v>
      </c>
      <c r="C290" t="s">
        <v>335</v>
      </c>
      <c r="D290" t="s">
        <v>735</v>
      </c>
      <c r="E290" s="25" t="s">
        <v>336</v>
      </c>
      <c r="F290" s="26" t="s">
        <v>336</v>
      </c>
      <c r="G290" t="s">
        <v>1052</v>
      </c>
      <c r="H290" s="23">
        <v>17</v>
      </c>
      <c r="I290" s="14" t="str">
        <f>TEXT(Tabelle2[[#This Row],[category]],"00")&amp;TEXT(Tabelle2[[#This Row],[internal_order]],"00")</f>
        <v>1917</v>
      </c>
      <c r="J290" s="15">
        <v>2</v>
      </c>
      <c r="K290" s="15">
        <f>Tabelle2[[#This Row],[propertyID]]</f>
        <v>288</v>
      </c>
      <c r="L290" s="15">
        <v>1E-3</v>
      </c>
      <c r="M290" s="15" t="s">
        <v>337</v>
      </c>
      <c r="O290" s="14">
        <v>1</v>
      </c>
      <c r="P290" s="14">
        <f>Tabelle2[[#This Row],[propertyID]]</f>
        <v>288</v>
      </c>
      <c r="Q290" s="14">
        <v>1E-3</v>
      </c>
      <c r="R290" t="s">
        <v>337</v>
      </c>
      <c r="S290" s="14" t="s">
        <v>948</v>
      </c>
      <c r="T290" s="14"/>
      <c r="U290" s="14"/>
      <c r="V290" s="14"/>
      <c r="W290" s="14">
        <v>0</v>
      </c>
      <c r="X290" s="14"/>
    </row>
    <row r="291" spans="1:24" x14ac:dyDescent="0.25">
      <c r="A291">
        <v>289</v>
      </c>
      <c r="B291">
        <v>19</v>
      </c>
      <c r="C291" t="s">
        <v>400</v>
      </c>
      <c r="D291" t="s">
        <v>753</v>
      </c>
      <c r="E291" s="25" t="s">
        <v>336</v>
      </c>
      <c r="F291" s="26" t="s">
        <v>336</v>
      </c>
      <c r="G291" t="s">
        <v>1052</v>
      </c>
      <c r="H291" s="23">
        <v>18</v>
      </c>
      <c r="I291" s="14" t="str">
        <f>TEXT(Tabelle2[[#This Row],[category]],"00")&amp;TEXT(Tabelle2[[#This Row],[internal_order]],"00")</f>
        <v>1918</v>
      </c>
      <c r="J291" s="15">
        <v>2</v>
      </c>
      <c r="K291" s="15">
        <f>Tabelle2[[#This Row],[propertyID]]</f>
        <v>289</v>
      </c>
      <c r="L291" s="15">
        <v>4.0000000000000001E-3</v>
      </c>
      <c r="M291" s="15" t="s">
        <v>401</v>
      </c>
      <c r="O291" s="14">
        <v>1</v>
      </c>
      <c r="P291" s="14">
        <f>Tabelle2[[#This Row],[propertyID]]</f>
        <v>289</v>
      </c>
      <c r="Q291" s="14">
        <v>4.0000000000000001E-3</v>
      </c>
      <c r="R291" t="s">
        <v>401</v>
      </c>
      <c r="S291" s="14" t="s">
        <v>948</v>
      </c>
      <c r="T291" s="14"/>
      <c r="U291" s="14"/>
      <c r="V291" s="14"/>
      <c r="W291" s="14">
        <v>0</v>
      </c>
      <c r="X291" s="14"/>
    </row>
    <row r="292" spans="1:24" x14ac:dyDescent="0.25">
      <c r="A292">
        <v>290</v>
      </c>
      <c r="B292">
        <v>19</v>
      </c>
      <c r="C292" t="s">
        <v>409</v>
      </c>
      <c r="D292" t="s">
        <v>756</v>
      </c>
      <c r="E292" s="25" t="s">
        <v>410</v>
      </c>
      <c r="F292" s="26" t="s">
        <v>1512</v>
      </c>
      <c r="G292" t="s">
        <v>1052</v>
      </c>
      <c r="H292" s="23">
        <v>19</v>
      </c>
      <c r="I292" s="14" t="str">
        <f>TEXT(Tabelle2[[#This Row],[category]],"00")&amp;TEXT(Tabelle2[[#This Row],[internal_order]],"00")</f>
        <v>1919</v>
      </c>
      <c r="J292" s="15">
        <v>2</v>
      </c>
      <c r="K292" s="15">
        <f>Tabelle2[[#This Row],[propertyID]]</f>
        <v>290</v>
      </c>
      <c r="L292" s="15">
        <v>4.0359999999999996</v>
      </c>
      <c r="M292" s="15" t="s">
        <v>411</v>
      </c>
      <c r="O292" s="14">
        <v>1</v>
      </c>
      <c r="P292" s="14">
        <f>Tabelle2[[#This Row],[propertyID]]</f>
        <v>290</v>
      </c>
      <c r="Q292" s="14">
        <v>4.0359999999999996</v>
      </c>
      <c r="R292" t="s">
        <v>411</v>
      </c>
      <c r="S292" s="14" t="s">
        <v>948</v>
      </c>
      <c r="T292" s="14"/>
      <c r="U292" s="14"/>
      <c r="V292" s="14"/>
      <c r="W292" s="14">
        <v>0</v>
      </c>
      <c r="X292" s="14"/>
    </row>
    <row r="293" spans="1:24" x14ac:dyDescent="0.25">
      <c r="A293">
        <v>291</v>
      </c>
      <c r="B293">
        <v>19</v>
      </c>
      <c r="C293" t="s">
        <v>406</v>
      </c>
      <c r="D293" t="s">
        <v>755</v>
      </c>
      <c r="E293" s="25" t="s">
        <v>407</v>
      </c>
      <c r="F293" s="26" t="s">
        <v>1513</v>
      </c>
      <c r="G293" t="s">
        <v>1052</v>
      </c>
      <c r="H293" s="23">
        <v>20</v>
      </c>
      <c r="I293" s="14" t="str">
        <f>TEXT(Tabelle2[[#This Row],[category]],"00")&amp;TEXT(Tabelle2[[#This Row],[internal_order]],"00")</f>
        <v>1920</v>
      </c>
      <c r="J293" s="15">
        <v>2</v>
      </c>
      <c r="K293" s="15">
        <f>Tabelle2[[#This Row],[propertyID]]</f>
        <v>291</v>
      </c>
      <c r="L293" s="15">
        <v>2.7199999999999999E-8</v>
      </c>
      <c r="M293" s="15" t="s">
        <v>408</v>
      </c>
      <c r="O293" s="14">
        <v>1</v>
      </c>
      <c r="P293" s="14">
        <f>Tabelle2[[#This Row],[propertyID]]</f>
        <v>291</v>
      </c>
      <c r="Q293" s="14">
        <v>2.7199999999999999E-8</v>
      </c>
      <c r="R293" t="s">
        <v>408</v>
      </c>
      <c r="S293" s="14" t="s">
        <v>948</v>
      </c>
      <c r="T293" s="14"/>
      <c r="U293" s="14"/>
      <c r="V293" s="14"/>
      <c r="W293" s="14">
        <v>0</v>
      </c>
      <c r="X293" s="14"/>
    </row>
    <row r="294" spans="1:24" x14ac:dyDescent="0.25">
      <c r="A294">
        <v>292</v>
      </c>
      <c r="B294">
        <v>19</v>
      </c>
      <c r="C294" t="s">
        <v>859</v>
      </c>
      <c r="D294" t="s">
        <v>880</v>
      </c>
      <c r="E294" s="25" t="s">
        <v>353</v>
      </c>
      <c r="F294" s="26" t="s">
        <v>1514</v>
      </c>
      <c r="G294" t="s">
        <v>1052</v>
      </c>
      <c r="H294" s="23">
        <v>21</v>
      </c>
      <c r="I294" s="14" t="str">
        <f>TEXT(Tabelle2[[#This Row],[category]],"00")&amp;TEXT(Tabelle2[[#This Row],[internal_order]],"00")</f>
        <v>1921</v>
      </c>
      <c r="J294" s="15">
        <v>2</v>
      </c>
      <c r="K294" s="15">
        <f>Tabelle2[[#This Row],[propertyID]]</f>
        <v>292</v>
      </c>
      <c r="L294" s="15">
        <v>46</v>
      </c>
      <c r="M294" s="15" t="s">
        <v>354</v>
      </c>
      <c r="O294" s="14">
        <v>1</v>
      </c>
      <c r="P294" s="14">
        <f>Tabelle2[[#This Row],[propertyID]]</f>
        <v>292</v>
      </c>
      <c r="Q294" s="14">
        <v>46</v>
      </c>
      <c r="R294" t="s">
        <v>354</v>
      </c>
      <c r="S294" s="14" t="s">
        <v>948</v>
      </c>
      <c r="T294" s="14"/>
      <c r="U294" s="14"/>
      <c r="V294" s="14"/>
      <c r="W294" s="14">
        <v>0</v>
      </c>
      <c r="X294" s="14"/>
    </row>
    <row r="295" spans="1:24" x14ac:dyDescent="0.25">
      <c r="A295">
        <v>293</v>
      </c>
      <c r="B295">
        <v>19</v>
      </c>
      <c r="C295" t="s">
        <v>861</v>
      </c>
      <c r="D295" t="s">
        <v>882</v>
      </c>
      <c r="E295" s="25" t="s">
        <v>353</v>
      </c>
      <c r="F295" s="26" t="s">
        <v>1514</v>
      </c>
      <c r="G295" t="s">
        <v>1052</v>
      </c>
      <c r="H295" s="23">
        <v>22</v>
      </c>
      <c r="I295" s="14" t="str">
        <f>TEXT(Tabelle2[[#This Row],[category]],"00")&amp;TEXT(Tabelle2[[#This Row],[internal_order]],"00")</f>
        <v>1922</v>
      </c>
      <c r="J295" s="15">
        <v>2</v>
      </c>
      <c r="K295" s="15">
        <f>Tabelle2[[#This Row],[propertyID]]</f>
        <v>293</v>
      </c>
      <c r="L295" s="15">
        <v>46</v>
      </c>
      <c r="M295" s="15" t="s">
        <v>392</v>
      </c>
      <c r="O295" s="14">
        <v>1</v>
      </c>
      <c r="P295" s="14">
        <f>Tabelle2[[#This Row],[propertyID]]</f>
        <v>293</v>
      </c>
      <c r="Q295" s="14">
        <v>46</v>
      </c>
      <c r="R295" t="s">
        <v>392</v>
      </c>
      <c r="S295" s="14" t="s">
        <v>948</v>
      </c>
      <c r="T295" s="14"/>
      <c r="U295" s="14"/>
      <c r="V295" s="14"/>
      <c r="W295" s="14">
        <v>0</v>
      </c>
      <c r="X295" s="14"/>
    </row>
    <row r="296" spans="1:24" x14ac:dyDescent="0.25">
      <c r="A296">
        <v>294</v>
      </c>
      <c r="B296">
        <v>19</v>
      </c>
      <c r="C296" t="s">
        <v>860</v>
      </c>
      <c r="D296" t="s">
        <v>881</v>
      </c>
      <c r="E296" s="25" t="s">
        <v>353</v>
      </c>
      <c r="F296" s="26" t="s">
        <v>1514</v>
      </c>
      <c r="G296" t="s">
        <v>1052</v>
      </c>
      <c r="H296" s="23">
        <v>23</v>
      </c>
      <c r="I296" s="14" t="str">
        <f>TEXT(Tabelle2[[#This Row],[category]],"00")&amp;TEXT(Tabelle2[[#This Row],[internal_order]],"00")</f>
        <v>1923</v>
      </c>
      <c r="J296" s="15">
        <v>2</v>
      </c>
      <c r="K296" s="15">
        <f>Tabelle2[[#This Row],[propertyID]]</f>
        <v>294</v>
      </c>
      <c r="L296" s="15">
        <v>46</v>
      </c>
      <c r="M296" s="15" t="s">
        <v>386</v>
      </c>
      <c r="O296" s="14">
        <v>1</v>
      </c>
      <c r="P296" s="14">
        <f>Tabelle2[[#This Row],[propertyID]]</f>
        <v>294</v>
      </c>
      <c r="Q296" s="14">
        <v>46</v>
      </c>
      <c r="R296" t="s">
        <v>386</v>
      </c>
      <c r="S296" s="14" t="s">
        <v>948</v>
      </c>
      <c r="T296" s="14"/>
      <c r="U296" s="14"/>
      <c r="V296" s="14"/>
      <c r="W296" s="14">
        <v>0</v>
      </c>
      <c r="X296" s="14"/>
    </row>
    <row r="297" spans="1:24" x14ac:dyDescent="0.25">
      <c r="A297">
        <v>295</v>
      </c>
      <c r="B297">
        <v>19</v>
      </c>
      <c r="C297" t="s">
        <v>858</v>
      </c>
      <c r="D297" t="s">
        <v>878</v>
      </c>
      <c r="E297" s="25" t="s">
        <v>339</v>
      </c>
      <c r="F297" s="26" t="s">
        <v>1514</v>
      </c>
      <c r="G297" t="s">
        <v>1052</v>
      </c>
      <c r="H297" s="23">
        <v>24</v>
      </c>
      <c r="I297" s="14" t="str">
        <f>TEXT(Tabelle2[[#This Row],[category]],"00")&amp;TEXT(Tabelle2[[#This Row],[internal_order]],"00")</f>
        <v>1924</v>
      </c>
      <c r="J297" s="15">
        <v>2</v>
      </c>
      <c r="K297" s="15">
        <f>Tabelle2[[#This Row],[propertyID]]</f>
        <v>295</v>
      </c>
      <c r="L297" s="15">
        <v>380</v>
      </c>
      <c r="M297" s="15" t="s">
        <v>340</v>
      </c>
      <c r="O297" s="14">
        <v>1</v>
      </c>
      <c r="P297" s="14">
        <f>Tabelle2[[#This Row],[propertyID]]</f>
        <v>295</v>
      </c>
      <c r="Q297" s="14">
        <v>380</v>
      </c>
      <c r="R297" t="s">
        <v>340</v>
      </c>
      <c r="S297" s="14" t="s">
        <v>948</v>
      </c>
      <c r="T297" s="14"/>
      <c r="U297" s="14"/>
      <c r="V297" s="14"/>
      <c r="W297" s="14">
        <v>0</v>
      </c>
      <c r="X297" s="14"/>
    </row>
    <row r="298" spans="1:24" x14ac:dyDescent="0.25">
      <c r="A298">
        <v>296</v>
      </c>
      <c r="B298">
        <v>19</v>
      </c>
      <c r="C298" t="s">
        <v>862</v>
      </c>
      <c r="D298" t="s">
        <v>883</v>
      </c>
      <c r="E298" s="25" t="s">
        <v>348</v>
      </c>
      <c r="F298" s="26" t="s">
        <v>1514</v>
      </c>
      <c r="G298" t="s">
        <v>1052</v>
      </c>
      <c r="H298" s="23">
        <v>25</v>
      </c>
      <c r="I298" s="14" t="str">
        <f>TEXT(Tabelle2[[#This Row],[category]],"00")&amp;TEXT(Tabelle2[[#This Row],[internal_order]],"00")</f>
        <v>1925</v>
      </c>
      <c r="J298" s="15">
        <v>2</v>
      </c>
      <c r="K298" s="15">
        <f>Tabelle2[[#This Row],[propertyID]]</f>
        <v>296</v>
      </c>
      <c r="L298" s="15">
        <v>46</v>
      </c>
      <c r="M298" s="15" t="s">
        <v>403</v>
      </c>
      <c r="O298" s="14">
        <v>1</v>
      </c>
      <c r="P298" s="14">
        <f>Tabelle2[[#This Row],[propertyID]]</f>
        <v>296</v>
      </c>
      <c r="Q298" s="14">
        <v>46</v>
      </c>
      <c r="R298" t="s">
        <v>403</v>
      </c>
      <c r="S298" s="14" t="s">
        <v>948</v>
      </c>
      <c r="T298" s="14"/>
      <c r="U298" s="14"/>
      <c r="V298" s="14"/>
      <c r="W298" s="14">
        <v>0</v>
      </c>
      <c r="X298" s="14"/>
    </row>
    <row r="299" spans="1:24" x14ac:dyDescent="0.25">
      <c r="A299">
        <v>297</v>
      </c>
      <c r="B299">
        <v>19</v>
      </c>
      <c r="C299" t="s">
        <v>345</v>
      </c>
      <c r="D299" t="s">
        <v>740</v>
      </c>
      <c r="E299" s="25" t="s">
        <v>1</v>
      </c>
      <c r="F299" s="26" t="s">
        <v>1</v>
      </c>
      <c r="G299" t="s">
        <v>1052</v>
      </c>
      <c r="H299" s="23">
        <v>26</v>
      </c>
      <c r="I299" s="14" t="str">
        <f>TEXT(Tabelle2[[#This Row],[category]],"00")&amp;TEXT(Tabelle2[[#This Row],[internal_order]],"00")</f>
        <v>1926</v>
      </c>
      <c r="J299" s="15">
        <v>2</v>
      </c>
      <c r="K299" s="15">
        <f>Tabelle2[[#This Row],[propertyID]]</f>
        <v>297</v>
      </c>
      <c r="L299" s="15">
        <v>1</v>
      </c>
      <c r="M299" s="15" t="s">
        <v>346</v>
      </c>
      <c r="O299" s="14">
        <v>1</v>
      </c>
      <c r="P299" s="14">
        <f>Tabelle2[[#This Row],[propertyID]]</f>
        <v>297</v>
      </c>
      <c r="Q299" s="14">
        <v>1</v>
      </c>
      <c r="R299" t="s">
        <v>346</v>
      </c>
      <c r="S299" s="14" t="s">
        <v>948</v>
      </c>
      <c r="T299" s="14"/>
      <c r="U299" s="14"/>
      <c r="V299" s="14"/>
      <c r="W299" s="14">
        <v>0</v>
      </c>
      <c r="X299" s="14"/>
    </row>
    <row r="300" spans="1:24" x14ac:dyDescent="0.25">
      <c r="A300">
        <v>298</v>
      </c>
      <c r="B300">
        <v>19</v>
      </c>
      <c r="C300" t="s">
        <v>379</v>
      </c>
      <c r="D300" t="s">
        <v>747</v>
      </c>
      <c r="E300" s="25" t="s">
        <v>1</v>
      </c>
      <c r="F300" s="26" t="s">
        <v>1</v>
      </c>
      <c r="G300" t="s">
        <v>1052</v>
      </c>
      <c r="H300" s="23">
        <v>27</v>
      </c>
      <c r="I300" s="14" t="str">
        <f>TEXT(Tabelle2[[#This Row],[category]],"00")&amp;TEXT(Tabelle2[[#This Row],[internal_order]],"00")</f>
        <v>1927</v>
      </c>
      <c r="J300" s="15">
        <v>2</v>
      </c>
      <c r="K300" s="15">
        <f>Tabelle2[[#This Row],[propertyID]]</f>
        <v>298</v>
      </c>
      <c r="L300" s="15">
        <v>23.5</v>
      </c>
      <c r="M300" s="15" t="s">
        <v>380</v>
      </c>
      <c r="O300" s="14">
        <v>1</v>
      </c>
      <c r="P300" s="14">
        <f>Tabelle2[[#This Row],[propertyID]]</f>
        <v>298</v>
      </c>
      <c r="Q300" s="14">
        <v>23.5</v>
      </c>
      <c r="R300" t="s">
        <v>380</v>
      </c>
      <c r="S300" s="14" t="s">
        <v>948</v>
      </c>
      <c r="T300" s="14"/>
      <c r="U300" s="14"/>
      <c r="V300" s="14"/>
      <c r="W300" s="14">
        <v>0</v>
      </c>
      <c r="X300" s="14"/>
    </row>
    <row r="301" spans="1:24" x14ac:dyDescent="0.25">
      <c r="A301">
        <v>299</v>
      </c>
      <c r="B301">
        <v>19</v>
      </c>
      <c r="C301" t="s">
        <v>341</v>
      </c>
      <c r="D301" t="s">
        <v>879</v>
      </c>
      <c r="E301" s="25" t="s">
        <v>287</v>
      </c>
      <c r="F301" s="26" t="s">
        <v>1501</v>
      </c>
      <c r="G301" t="s">
        <v>1052</v>
      </c>
      <c r="H301" s="23">
        <v>28</v>
      </c>
      <c r="I301" s="14" t="str">
        <f>TEXT(Tabelle2[[#This Row],[category]],"00")&amp;TEXT(Tabelle2[[#This Row],[internal_order]],"00")</f>
        <v>1928</v>
      </c>
      <c r="J301" s="15">
        <v>2</v>
      </c>
      <c r="K301" s="15">
        <f>Tabelle2[[#This Row],[propertyID]]</f>
        <v>299</v>
      </c>
      <c r="L301" s="15">
        <v>1500</v>
      </c>
      <c r="M301" s="15" t="s">
        <v>342</v>
      </c>
      <c r="O301" s="14">
        <v>1</v>
      </c>
      <c r="P301" s="14">
        <f>Tabelle2[[#This Row],[propertyID]]</f>
        <v>299</v>
      </c>
      <c r="Q301" s="14">
        <v>1500</v>
      </c>
      <c r="R301" t="s">
        <v>342</v>
      </c>
      <c r="S301" s="14" t="s">
        <v>948</v>
      </c>
      <c r="T301" s="14"/>
      <c r="U301" s="14"/>
      <c r="V301" s="14"/>
      <c r="W301" s="14">
        <v>0</v>
      </c>
      <c r="X301" s="14"/>
    </row>
    <row r="302" spans="1:24" x14ac:dyDescent="0.25">
      <c r="A302">
        <v>300</v>
      </c>
      <c r="B302">
        <v>19</v>
      </c>
      <c r="C302" t="s">
        <v>373</v>
      </c>
      <c r="D302" t="s">
        <v>745</v>
      </c>
      <c r="E302" s="25" t="s">
        <v>287</v>
      </c>
      <c r="F302" s="26" t="s">
        <v>1501</v>
      </c>
      <c r="G302" t="s">
        <v>1052</v>
      </c>
      <c r="H302" s="23">
        <v>29</v>
      </c>
      <c r="I302" s="14" t="str">
        <f>TEXT(Tabelle2[[#This Row],[category]],"00")&amp;TEXT(Tabelle2[[#This Row],[internal_order]],"00")</f>
        <v>1929</v>
      </c>
      <c r="J302" s="15">
        <v>2</v>
      </c>
      <c r="K302" s="15">
        <f>Tabelle2[[#This Row],[propertyID]]</f>
        <v>300</v>
      </c>
      <c r="L302" s="15">
        <v>1500</v>
      </c>
      <c r="M302" s="15" t="s">
        <v>374</v>
      </c>
      <c r="O302" s="14">
        <v>1</v>
      </c>
      <c r="P302" s="14">
        <f>Tabelle2[[#This Row],[propertyID]]</f>
        <v>300</v>
      </c>
      <c r="Q302" s="14">
        <v>1500</v>
      </c>
      <c r="R302" t="s">
        <v>374</v>
      </c>
      <c r="S302" s="14" t="s">
        <v>948</v>
      </c>
      <c r="T302" s="14"/>
      <c r="U302" s="14"/>
      <c r="V302" s="14"/>
      <c r="W302" s="14">
        <v>0</v>
      </c>
      <c r="X302" s="14"/>
    </row>
    <row r="303" spans="1:24" x14ac:dyDescent="0.25">
      <c r="A303">
        <v>301</v>
      </c>
      <c r="B303">
        <v>19</v>
      </c>
      <c r="C303" t="s">
        <v>366</v>
      </c>
      <c r="D303" t="s">
        <v>743</v>
      </c>
      <c r="E303" s="25" t="s">
        <v>1</v>
      </c>
      <c r="F303" s="26" t="s">
        <v>1</v>
      </c>
      <c r="G303" t="s">
        <v>1052</v>
      </c>
      <c r="H303" s="23">
        <v>30</v>
      </c>
      <c r="I303" s="14" t="str">
        <f>TEXT(Tabelle2[[#This Row],[category]],"00")&amp;TEXT(Tabelle2[[#This Row],[internal_order]],"00")</f>
        <v>1930</v>
      </c>
      <c r="J303" s="15">
        <v>2</v>
      </c>
      <c r="K303" s="15">
        <f>Tabelle2[[#This Row],[propertyID]]</f>
        <v>301</v>
      </c>
      <c r="L303" s="15">
        <v>1</v>
      </c>
      <c r="M303" s="15" t="s">
        <v>367</v>
      </c>
      <c r="O303" s="14">
        <v>1</v>
      </c>
      <c r="P303" s="14">
        <f>Tabelle2[[#This Row],[propertyID]]</f>
        <v>301</v>
      </c>
      <c r="Q303" s="14">
        <v>1</v>
      </c>
      <c r="R303" t="s">
        <v>367</v>
      </c>
      <c r="S303" s="14" t="s">
        <v>948</v>
      </c>
      <c r="T303" s="14"/>
      <c r="U303" s="14"/>
      <c r="V303" s="14"/>
      <c r="W303" s="14">
        <v>0</v>
      </c>
      <c r="X303" s="14"/>
    </row>
    <row r="304" spans="1:24" x14ac:dyDescent="0.25">
      <c r="A304">
        <v>302</v>
      </c>
      <c r="B304">
        <v>19</v>
      </c>
      <c r="C304" t="s">
        <v>412</v>
      </c>
      <c r="D304" t="s">
        <v>757</v>
      </c>
      <c r="E304" s="25" t="s">
        <v>1</v>
      </c>
      <c r="F304" s="26" t="s">
        <v>1</v>
      </c>
      <c r="G304" t="s">
        <v>1052</v>
      </c>
      <c r="H304" s="23">
        <v>31</v>
      </c>
      <c r="I304" s="14" t="str">
        <f>TEXT(Tabelle2[[#This Row],[category]],"00")&amp;TEXT(Tabelle2[[#This Row],[internal_order]],"00")</f>
        <v>1931</v>
      </c>
      <c r="J304" s="15">
        <v>2</v>
      </c>
      <c r="K304" s="15">
        <f>Tabelle2[[#This Row],[propertyID]]</f>
        <v>302</v>
      </c>
      <c r="L304" s="15">
        <v>56</v>
      </c>
      <c r="M304" s="15" t="s">
        <v>413</v>
      </c>
      <c r="O304" s="14">
        <v>1</v>
      </c>
      <c r="P304" s="14">
        <f>Tabelle2[[#This Row],[propertyID]]</f>
        <v>302</v>
      </c>
      <c r="Q304" s="14">
        <v>56</v>
      </c>
      <c r="R304" t="s">
        <v>413</v>
      </c>
      <c r="S304" s="14" t="s">
        <v>948</v>
      </c>
      <c r="T304" s="14"/>
      <c r="U304" s="14"/>
      <c r="V304" s="14"/>
      <c r="W304" s="14">
        <v>0</v>
      </c>
      <c r="X304" s="14"/>
    </row>
    <row r="305" spans="1:24" x14ac:dyDescent="0.25">
      <c r="A305">
        <v>303</v>
      </c>
      <c r="B305">
        <v>19</v>
      </c>
      <c r="C305" t="s">
        <v>414</v>
      </c>
      <c r="D305" t="s">
        <v>758</v>
      </c>
      <c r="E305" s="25" t="s">
        <v>1</v>
      </c>
      <c r="F305" s="26" t="s">
        <v>1</v>
      </c>
      <c r="G305" t="s">
        <v>1052</v>
      </c>
      <c r="H305" s="23">
        <v>32</v>
      </c>
      <c r="I305" s="14" t="str">
        <f>TEXT(Tabelle2[[#This Row],[category]],"00")&amp;TEXT(Tabelle2[[#This Row],[internal_order]],"00")</f>
        <v>1932</v>
      </c>
      <c r="J305" s="15">
        <v>2</v>
      </c>
      <c r="K305" s="15">
        <f>Tabelle2[[#This Row],[propertyID]]</f>
        <v>303</v>
      </c>
      <c r="L305" s="15">
        <v>24</v>
      </c>
      <c r="M305" s="15" t="s">
        <v>415</v>
      </c>
      <c r="O305" s="14">
        <v>1</v>
      </c>
      <c r="P305" s="14">
        <f>Tabelle2[[#This Row],[propertyID]]</f>
        <v>303</v>
      </c>
      <c r="Q305" s="14">
        <v>24</v>
      </c>
      <c r="R305" t="s">
        <v>415</v>
      </c>
      <c r="S305" s="14" t="s">
        <v>948</v>
      </c>
      <c r="T305" s="14"/>
      <c r="U305" s="14"/>
      <c r="V305" s="14"/>
      <c r="W305" s="14">
        <v>0</v>
      </c>
      <c r="X305" s="14"/>
    </row>
    <row r="306" spans="1:24" x14ac:dyDescent="0.25">
      <c r="A306">
        <v>304</v>
      </c>
      <c r="B306">
        <v>19</v>
      </c>
      <c r="C306" t="s">
        <v>370</v>
      </c>
      <c r="D306" t="s">
        <v>744</v>
      </c>
      <c r="E306" s="25" t="s">
        <v>371</v>
      </c>
      <c r="F306" s="26" t="s">
        <v>371</v>
      </c>
      <c r="G306" t="s">
        <v>1052</v>
      </c>
      <c r="H306" s="23">
        <v>33</v>
      </c>
      <c r="I306" s="14" t="str">
        <f>TEXT(Tabelle2[[#This Row],[category]],"00")&amp;TEXT(Tabelle2[[#This Row],[internal_order]],"00")</f>
        <v>1933</v>
      </c>
      <c r="J306" s="15">
        <v>2</v>
      </c>
      <c r="K306" s="15">
        <f>Tabelle2[[#This Row],[propertyID]]</f>
        <v>304</v>
      </c>
      <c r="L306" s="15">
        <v>10000</v>
      </c>
      <c r="M306" s="15" t="s">
        <v>372</v>
      </c>
      <c r="O306" s="14">
        <v>1</v>
      </c>
      <c r="P306" s="14">
        <f>Tabelle2[[#This Row],[propertyID]]</f>
        <v>304</v>
      </c>
      <c r="Q306" s="14">
        <v>10000</v>
      </c>
      <c r="R306" t="s">
        <v>372</v>
      </c>
      <c r="S306" s="14" t="s">
        <v>948</v>
      </c>
      <c r="T306" s="14"/>
      <c r="U306" s="14"/>
      <c r="V306" s="14"/>
      <c r="W306" s="14">
        <v>0</v>
      </c>
      <c r="X306" s="14"/>
    </row>
    <row r="307" spans="1:24" x14ac:dyDescent="0.25">
      <c r="A307">
        <v>305</v>
      </c>
      <c r="B307">
        <v>19</v>
      </c>
      <c r="C307" t="s">
        <v>361</v>
      </c>
      <c r="D307" t="s">
        <v>723</v>
      </c>
      <c r="E307" s="25" t="s">
        <v>362</v>
      </c>
      <c r="F307" s="26" t="s">
        <v>1515</v>
      </c>
      <c r="G307" t="s">
        <v>1052</v>
      </c>
      <c r="H307" s="23">
        <v>34</v>
      </c>
      <c r="I307" s="14" t="str">
        <f>TEXT(Tabelle2[[#This Row],[category]],"00")&amp;TEXT(Tabelle2[[#This Row],[internal_order]],"00")</f>
        <v>1934</v>
      </c>
      <c r="J307" s="15">
        <v>2</v>
      </c>
      <c r="K307" s="15">
        <f>Tabelle2[[#This Row],[propertyID]]</f>
        <v>305</v>
      </c>
      <c r="L307" s="15">
        <v>1.6831</v>
      </c>
      <c r="M307" s="15" t="s">
        <v>363</v>
      </c>
      <c r="O307" s="14">
        <v>1</v>
      </c>
      <c r="P307" s="14">
        <f>Tabelle2[[#This Row],[propertyID]]</f>
        <v>305</v>
      </c>
      <c r="Q307" s="14">
        <v>1.6831</v>
      </c>
      <c r="R307" t="s">
        <v>363</v>
      </c>
      <c r="S307" s="14" t="s">
        <v>948</v>
      </c>
      <c r="T307" s="14"/>
      <c r="U307" s="14"/>
      <c r="V307" s="14"/>
      <c r="W307" s="14">
        <v>0</v>
      </c>
      <c r="X307" s="14"/>
    </row>
    <row r="308" spans="1:24" x14ac:dyDescent="0.25">
      <c r="A308">
        <v>306</v>
      </c>
      <c r="B308">
        <v>19</v>
      </c>
      <c r="C308" t="s">
        <v>364</v>
      </c>
      <c r="D308" t="s">
        <v>724</v>
      </c>
      <c r="E308" s="25" t="s">
        <v>362</v>
      </c>
      <c r="F308" s="26" t="s">
        <v>1515</v>
      </c>
      <c r="G308" t="s">
        <v>1052</v>
      </c>
      <c r="H308" s="23">
        <v>35</v>
      </c>
      <c r="I308" s="14" t="str">
        <f>TEXT(Tabelle2[[#This Row],[category]],"00")&amp;TEXT(Tabelle2[[#This Row],[internal_order]],"00")</f>
        <v>1935</v>
      </c>
      <c r="J308" s="15">
        <v>2</v>
      </c>
      <c r="K308" s="15">
        <f>Tabelle2[[#This Row],[propertyID]]</f>
        <v>306</v>
      </c>
      <c r="L308" s="15">
        <v>998.2</v>
      </c>
      <c r="M308" s="15" t="s">
        <v>365</v>
      </c>
      <c r="O308" s="14">
        <v>1</v>
      </c>
      <c r="P308" s="14">
        <f>Tabelle2[[#This Row],[propertyID]]</f>
        <v>306</v>
      </c>
      <c r="Q308" s="14">
        <v>998.2</v>
      </c>
      <c r="R308" t="s">
        <v>365</v>
      </c>
      <c r="S308" s="14" t="s">
        <v>948</v>
      </c>
      <c r="T308" s="14"/>
      <c r="U308" s="14"/>
      <c r="V308" s="14"/>
      <c r="W308" s="14">
        <v>0</v>
      </c>
      <c r="X308" s="14"/>
    </row>
    <row r="309" spans="1:24" x14ac:dyDescent="0.25">
      <c r="A309">
        <v>307</v>
      </c>
      <c r="B309">
        <v>19</v>
      </c>
      <c r="C309" t="s">
        <v>395</v>
      </c>
      <c r="D309" t="s">
        <v>729</v>
      </c>
      <c r="E309" s="25" t="s">
        <v>396</v>
      </c>
      <c r="F309" s="26" t="s">
        <v>1516</v>
      </c>
      <c r="G309" t="s">
        <v>1052</v>
      </c>
      <c r="H309" s="23">
        <v>36</v>
      </c>
      <c r="I309" s="14" t="str">
        <f>TEXT(Tabelle2[[#This Row],[category]],"00")&amp;TEXT(Tabelle2[[#This Row],[internal_order]],"00")</f>
        <v>1936</v>
      </c>
      <c r="J309" s="15">
        <v>2</v>
      </c>
      <c r="K309" s="15">
        <f>Tabelle2[[#This Row],[propertyID]]</f>
        <v>307</v>
      </c>
      <c r="L309" s="15">
        <v>1</v>
      </c>
      <c r="M309" s="15" t="s">
        <v>397</v>
      </c>
      <c r="O309" s="14">
        <v>1</v>
      </c>
      <c r="P309" s="14">
        <f>Tabelle2[[#This Row],[propertyID]]</f>
        <v>307</v>
      </c>
      <c r="Q309" s="14">
        <v>1</v>
      </c>
      <c r="R309" t="s">
        <v>397</v>
      </c>
      <c r="S309" s="14" t="s">
        <v>948</v>
      </c>
      <c r="T309" s="14"/>
      <c r="U309" s="14"/>
      <c r="V309" s="14"/>
      <c r="W309" s="14">
        <v>0</v>
      </c>
      <c r="X309" s="14"/>
    </row>
    <row r="310" spans="1:24" x14ac:dyDescent="0.25">
      <c r="A310">
        <v>308</v>
      </c>
      <c r="B310">
        <v>19</v>
      </c>
      <c r="C310" t="s">
        <v>343</v>
      </c>
      <c r="D310" t="s">
        <v>1414</v>
      </c>
      <c r="E310" s="25" t="s">
        <v>29</v>
      </c>
      <c r="F310" s="26" t="s">
        <v>29</v>
      </c>
      <c r="G310" t="s">
        <v>1052</v>
      </c>
      <c r="H310" s="23">
        <v>37</v>
      </c>
      <c r="I310" s="14" t="str">
        <f>TEXT(Tabelle2[[#This Row],[category]],"00")&amp;TEXT(Tabelle2[[#This Row],[internal_order]],"00")</f>
        <v>1937</v>
      </c>
      <c r="J310" s="15">
        <v>2</v>
      </c>
      <c r="K310" s="15">
        <f>Tabelle2[[#This Row],[propertyID]]</f>
        <v>308</v>
      </c>
      <c r="L310" s="15">
        <v>15</v>
      </c>
      <c r="M310" s="15" t="s">
        <v>344</v>
      </c>
      <c r="O310" s="14">
        <v>1</v>
      </c>
      <c r="P310" s="14">
        <f>Tabelle2[[#This Row],[propertyID]]</f>
        <v>308</v>
      </c>
      <c r="Q310" s="14">
        <v>15</v>
      </c>
      <c r="R310" t="s">
        <v>344</v>
      </c>
      <c r="S310" s="14" t="s">
        <v>948</v>
      </c>
      <c r="T310" s="14"/>
      <c r="U310" s="14"/>
      <c r="V310" s="14"/>
      <c r="W310" s="14">
        <v>0</v>
      </c>
      <c r="X310" s="14"/>
    </row>
    <row r="311" spans="1:24" x14ac:dyDescent="0.25">
      <c r="A311">
        <v>309</v>
      </c>
      <c r="B311">
        <v>19</v>
      </c>
      <c r="C311" t="s">
        <v>375</v>
      </c>
      <c r="D311" t="s">
        <v>1415</v>
      </c>
      <c r="E311" s="25" t="s">
        <v>29</v>
      </c>
      <c r="F311" s="26" t="s">
        <v>29</v>
      </c>
      <c r="G311" t="s">
        <v>1052</v>
      </c>
      <c r="H311" s="23">
        <v>38</v>
      </c>
      <c r="I311" s="14" t="str">
        <f>TEXT(Tabelle2[[#This Row],[category]],"00")&amp;TEXT(Tabelle2[[#This Row],[internal_order]],"00")</f>
        <v>1938</v>
      </c>
      <c r="J311" s="15">
        <v>2</v>
      </c>
      <c r="K311" s="15">
        <f>Tabelle2[[#This Row],[propertyID]]</f>
        <v>309</v>
      </c>
      <c r="L311" s="15">
        <v>134</v>
      </c>
      <c r="M311" s="15" t="s">
        <v>376</v>
      </c>
      <c r="O311" s="14">
        <v>1</v>
      </c>
      <c r="P311" s="14">
        <f>Tabelle2[[#This Row],[propertyID]]</f>
        <v>309</v>
      </c>
      <c r="Q311" s="14">
        <v>134</v>
      </c>
      <c r="R311" t="s">
        <v>376</v>
      </c>
      <c r="S311" s="14" t="s">
        <v>948</v>
      </c>
      <c r="T311" s="14"/>
      <c r="U311" s="14"/>
      <c r="V311" s="14"/>
      <c r="W311" s="14">
        <v>0</v>
      </c>
      <c r="X311" s="14"/>
    </row>
    <row r="312" spans="1:24" x14ac:dyDescent="0.25">
      <c r="A312">
        <v>310</v>
      </c>
      <c r="B312">
        <v>19</v>
      </c>
      <c r="C312" t="s">
        <v>419</v>
      </c>
      <c r="D312" t="s">
        <v>1413</v>
      </c>
      <c r="E312" s="25" t="s">
        <v>29</v>
      </c>
      <c r="F312" s="26" t="s">
        <v>29</v>
      </c>
      <c r="G312" t="s">
        <v>1052</v>
      </c>
      <c r="H312" s="23">
        <v>39</v>
      </c>
      <c r="I312" s="14" t="str">
        <f>TEXT(Tabelle2[[#This Row],[category]],"00")&amp;TEXT(Tabelle2[[#This Row],[internal_order]],"00")</f>
        <v>1939</v>
      </c>
      <c r="J312" s="15">
        <v>2</v>
      </c>
      <c r="K312" s="15">
        <f>Tabelle2[[#This Row],[propertyID]]</f>
        <v>310</v>
      </c>
      <c r="L312" s="15">
        <v>25</v>
      </c>
      <c r="M312" s="15" t="s">
        <v>420</v>
      </c>
      <c r="O312" s="14">
        <v>1</v>
      </c>
      <c r="P312" s="14">
        <f>Tabelle2[[#This Row],[propertyID]]</f>
        <v>310</v>
      </c>
      <c r="Q312" s="14">
        <v>25</v>
      </c>
      <c r="R312" t="s">
        <v>420</v>
      </c>
      <c r="S312" s="14" t="s">
        <v>948</v>
      </c>
      <c r="T312" s="14"/>
      <c r="U312" s="14"/>
      <c r="V312" s="14"/>
      <c r="W312" s="14">
        <v>0</v>
      </c>
      <c r="X312" s="14"/>
    </row>
    <row r="313" spans="1:24" x14ac:dyDescent="0.25">
      <c r="A313">
        <v>311</v>
      </c>
      <c r="B313">
        <v>19</v>
      </c>
      <c r="C313" t="s">
        <v>358</v>
      </c>
      <c r="D313" t="s">
        <v>742</v>
      </c>
      <c r="E313" s="25" t="s">
        <v>359</v>
      </c>
      <c r="F313" s="26" t="s">
        <v>1517</v>
      </c>
      <c r="G313" t="s">
        <v>1052</v>
      </c>
      <c r="H313" s="23">
        <v>40</v>
      </c>
      <c r="I313" s="14" t="str">
        <f>TEXT(Tabelle2[[#This Row],[category]],"00")&amp;TEXT(Tabelle2[[#This Row],[internal_order]],"00")</f>
        <v>1940</v>
      </c>
      <c r="J313" s="15">
        <v>2</v>
      </c>
      <c r="K313" s="15">
        <f>Tabelle2[[#This Row],[propertyID]]</f>
        <v>311</v>
      </c>
      <c r="L313" s="15">
        <v>2.9999999999999997E-4</v>
      </c>
      <c r="M313" s="15" t="s">
        <v>360</v>
      </c>
      <c r="O313" s="14">
        <v>1</v>
      </c>
      <c r="P313" s="14">
        <f>Tabelle2[[#This Row],[propertyID]]</f>
        <v>311</v>
      </c>
      <c r="Q313" s="14">
        <v>2.9999999999999997E-4</v>
      </c>
      <c r="R313" t="s">
        <v>360</v>
      </c>
      <c r="S313" s="14" t="s">
        <v>948</v>
      </c>
      <c r="T313" s="14"/>
      <c r="U313" s="14"/>
      <c r="V313" s="14"/>
      <c r="W313" s="14">
        <v>0</v>
      </c>
      <c r="X313" s="14"/>
    </row>
    <row r="314" spans="1:24" x14ac:dyDescent="0.25">
      <c r="A314">
        <v>312</v>
      </c>
      <c r="B314">
        <v>5</v>
      </c>
      <c r="C314" t="s">
        <v>1577</v>
      </c>
      <c r="D314" t="s">
        <v>1583</v>
      </c>
      <c r="E314" s="25" t="s">
        <v>35</v>
      </c>
      <c r="F314" s="26" t="s">
        <v>35</v>
      </c>
      <c r="G314" t="s">
        <v>1589</v>
      </c>
      <c r="H314" s="23">
        <v>11</v>
      </c>
      <c r="I314" s="23" t="str">
        <f>Tabelle2[[#This Row],[category]]&amp;TEXT(Tabelle2[[#This Row],[internal_order]],"00")</f>
        <v>511</v>
      </c>
      <c r="J314" s="15"/>
      <c r="K314" s="15">
        <f>Tabelle2[[#This Row],[propertyID]]</f>
        <v>312</v>
      </c>
      <c r="L314" s="15"/>
      <c r="M314" s="15"/>
      <c r="O314" s="14"/>
      <c r="P314" s="14">
        <f>Tabelle2[[#This Row],[propertyID]]</f>
        <v>312</v>
      </c>
      <c r="Q314" s="14"/>
      <c r="R314" s="14"/>
      <c r="T314" s="14"/>
      <c r="U314" s="14"/>
      <c r="V314" s="14"/>
      <c r="W314" s="14"/>
      <c r="X314" s="14"/>
    </row>
    <row r="315" spans="1:24" x14ac:dyDescent="0.25">
      <c r="A315">
        <v>313</v>
      </c>
      <c r="B315">
        <v>5</v>
      </c>
      <c r="C315" t="s">
        <v>1578</v>
      </c>
      <c r="D315" t="s">
        <v>1585</v>
      </c>
      <c r="E315" s="25" t="s">
        <v>35</v>
      </c>
      <c r="F315" s="26" t="s">
        <v>35</v>
      </c>
      <c r="G315" t="s">
        <v>1589</v>
      </c>
      <c r="H315" s="23">
        <v>12</v>
      </c>
      <c r="I315" s="23" t="str">
        <f>Tabelle2[[#This Row],[category]]&amp;TEXT(Tabelle2[[#This Row],[internal_order]],"00")</f>
        <v>512</v>
      </c>
      <c r="J315" s="15"/>
      <c r="K315" s="15">
        <f>Tabelle2[[#This Row],[propertyID]]</f>
        <v>313</v>
      </c>
      <c r="L315" s="15"/>
      <c r="M315" s="15"/>
      <c r="O315" s="14"/>
      <c r="P315" s="14">
        <f>Tabelle2[[#This Row],[propertyID]]</f>
        <v>313</v>
      </c>
      <c r="Q315" s="14"/>
      <c r="R315" s="14"/>
      <c r="T315" s="14"/>
      <c r="U315" s="14"/>
      <c r="V315" s="14"/>
      <c r="W315" s="14"/>
      <c r="X315" s="14"/>
    </row>
    <row r="316" spans="1:24" x14ac:dyDescent="0.25">
      <c r="A316">
        <v>314</v>
      </c>
      <c r="B316">
        <v>5</v>
      </c>
      <c r="C316" t="s">
        <v>1579</v>
      </c>
      <c r="D316" t="s">
        <v>1584</v>
      </c>
      <c r="E316" s="25" t="s">
        <v>35</v>
      </c>
      <c r="F316" s="26" t="s">
        <v>35</v>
      </c>
      <c r="G316" t="s">
        <v>1589</v>
      </c>
      <c r="H316" s="23">
        <v>13</v>
      </c>
      <c r="I316" s="23" t="str">
        <f>Tabelle2[[#This Row],[category]]&amp;TEXT(Tabelle2[[#This Row],[internal_order]],"00")</f>
        <v>513</v>
      </c>
      <c r="J316" s="15"/>
      <c r="K316" s="15">
        <f>Tabelle2[[#This Row],[propertyID]]</f>
        <v>314</v>
      </c>
      <c r="L316" s="15"/>
      <c r="M316" s="15"/>
      <c r="O316" s="14"/>
      <c r="P316" s="14">
        <f>Tabelle2[[#This Row],[propertyID]]</f>
        <v>314</v>
      </c>
      <c r="Q316" s="14"/>
      <c r="R316" s="14"/>
      <c r="T316" s="14"/>
      <c r="U316" s="14"/>
      <c r="V316" s="14"/>
      <c r="W316" s="14"/>
      <c r="X316" s="14"/>
    </row>
    <row r="317" spans="1:24" x14ac:dyDescent="0.25">
      <c r="A317">
        <v>315</v>
      </c>
      <c r="B317">
        <v>5</v>
      </c>
      <c r="C317" t="s">
        <v>1580</v>
      </c>
      <c r="D317" t="s">
        <v>1586</v>
      </c>
      <c r="E317" s="25" t="s">
        <v>41</v>
      </c>
      <c r="F317" s="26" t="s">
        <v>922</v>
      </c>
      <c r="G317" t="s">
        <v>1589</v>
      </c>
      <c r="H317" s="23">
        <v>14</v>
      </c>
      <c r="I317" s="23" t="str">
        <f>Tabelle2[[#This Row],[category]]&amp;TEXT(Tabelle2[[#This Row],[internal_order]],"00")</f>
        <v>514</v>
      </c>
      <c r="J317" s="15"/>
      <c r="K317" s="15">
        <f>Tabelle2[[#This Row],[propertyID]]</f>
        <v>315</v>
      </c>
      <c r="L317" s="15"/>
      <c r="M317" s="15"/>
      <c r="O317" s="14"/>
      <c r="P317" s="14">
        <f>Tabelle2[[#This Row],[propertyID]]</f>
        <v>315</v>
      </c>
      <c r="Q317" s="14"/>
      <c r="R317" s="14"/>
      <c r="T317" s="14"/>
      <c r="U317" s="14"/>
      <c r="V317" s="14"/>
      <c r="W317" s="14"/>
      <c r="X317" s="14"/>
    </row>
    <row r="318" spans="1:24" x14ac:dyDescent="0.25">
      <c r="A318">
        <v>316</v>
      </c>
      <c r="B318">
        <v>5</v>
      </c>
      <c r="C318" t="s">
        <v>1581</v>
      </c>
      <c r="D318" t="s">
        <v>1588</v>
      </c>
      <c r="E318" s="25" t="s">
        <v>41</v>
      </c>
      <c r="F318" s="26" t="s">
        <v>922</v>
      </c>
      <c r="G318" t="s">
        <v>1589</v>
      </c>
      <c r="H318" s="23">
        <v>15</v>
      </c>
      <c r="I318" s="23" t="str">
        <f>Tabelle2[[#This Row],[category]]&amp;TEXT(Tabelle2[[#This Row],[internal_order]],"00")</f>
        <v>515</v>
      </c>
      <c r="J318" s="15"/>
      <c r="K318" s="15">
        <f>Tabelle2[[#This Row],[propertyID]]</f>
        <v>316</v>
      </c>
      <c r="L318" s="15"/>
      <c r="M318" s="15"/>
      <c r="O318" s="14"/>
      <c r="P318" s="14">
        <f>Tabelle2[[#This Row],[propertyID]]</f>
        <v>316</v>
      </c>
      <c r="Q318" s="14"/>
      <c r="R318" s="14"/>
      <c r="T318" s="14"/>
      <c r="U318" s="14"/>
      <c r="V318" s="14"/>
      <c r="W318" s="14"/>
      <c r="X318" s="14"/>
    </row>
    <row r="319" spans="1:24" x14ac:dyDescent="0.25">
      <c r="A319">
        <v>317</v>
      </c>
      <c r="B319">
        <v>5</v>
      </c>
      <c r="C319" t="s">
        <v>1582</v>
      </c>
      <c r="D319" t="s">
        <v>1587</v>
      </c>
      <c r="E319" s="25" t="s">
        <v>41</v>
      </c>
      <c r="F319" s="26" t="s">
        <v>922</v>
      </c>
      <c r="G319" t="s">
        <v>1589</v>
      </c>
      <c r="H319" s="23">
        <v>16</v>
      </c>
      <c r="I319" s="23" t="str">
        <f>Tabelle2[[#This Row],[category]]&amp;TEXT(Tabelle2[[#This Row],[internal_order]],"00")</f>
        <v>516</v>
      </c>
      <c r="J319" s="15"/>
      <c r="K319" s="15">
        <f>Tabelle2[[#This Row],[propertyID]]</f>
        <v>317</v>
      </c>
      <c r="L319" s="15"/>
      <c r="M319" s="15"/>
      <c r="O319" s="14"/>
      <c r="P319" s="14">
        <f>Tabelle2[[#This Row],[propertyID]]</f>
        <v>317</v>
      </c>
      <c r="Q319" s="14"/>
      <c r="R319" s="14"/>
      <c r="T319" s="14"/>
      <c r="U319" s="14"/>
      <c r="V319" s="14"/>
      <c r="W319" s="14"/>
      <c r="X319" s="14"/>
    </row>
    <row r="320" spans="1:24" x14ac:dyDescent="0.25">
      <c r="A320">
        <v>318</v>
      </c>
      <c r="B320">
        <v>5</v>
      </c>
      <c r="C320" t="s">
        <v>1060</v>
      </c>
      <c r="D320" t="s">
        <v>1074</v>
      </c>
      <c r="E320" s="25" t="s">
        <v>21</v>
      </c>
      <c r="F320" s="26" t="s">
        <v>923</v>
      </c>
      <c r="G320" t="s">
        <v>1589</v>
      </c>
      <c r="H320" s="23">
        <v>17</v>
      </c>
      <c r="I320" s="23" t="str">
        <f>Tabelle2[[#This Row],[category]]&amp;TEXT(Tabelle2[[#This Row],[internal_order]],"00")</f>
        <v>517</v>
      </c>
      <c r="J320" s="15"/>
      <c r="K320" s="15">
        <f>Tabelle2[[#This Row],[propertyID]]</f>
        <v>318</v>
      </c>
      <c r="L320" s="15"/>
      <c r="M320" s="15"/>
      <c r="O320" s="14"/>
      <c r="P320" s="14">
        <f>Tabelle2[[#This Row],[propertyID]]</f>
        <v>318</v>
      </c>
      <c r="Q320" s="14"/>
      <c r="R320" s="14"/>
      <c r="T320" s="14"/>
      <c r="U320" s="14"/>
      <c r="V320" s="14"/>
      <c r="W320" s="14"/>
      <c r="X320" s="14"/>
    </row>
    <row r="321" spans="1:24" x14ac:dyDescent="0.25">
      <c r="A321">
        <v>319</v>
      </c>
      <c r="B321">
        <v>5</v>
      </c>
      <c r="C321" t="s">
        <v>1061</v>
      </c>
      <c r="D321" t="s">
        <v>1075</v>
      </c>
      <c r="E321" s="25" t="s">
        <v>21</v>
      </c>
      <c r="F321" s="26" t="s">
        <v>923</v>
      </c>
      <c r="G321" t="s">
        <v>1589</v>
      </c>
      <c r="H321" s="23">
        <v>18</v>
      </c>
      <c r="I321" s="23" t="str">
        <f>Tabelle2[[#This Row],[category]]&amp;TEXT(Tabelle2[[#This Row],[internal_order]],"00")</f>
        <v>518</v>
      </c>
      <c r="J321" s="15"/>
      <c r="K321" s="15">
        <f>Tabelle2[[#This Row],[propertyID]]</f>
        <v>319</v>
      </c>
      <c r="L321" s="15"/>
      <c r="M321" s="15"/>
      <c r="O321" s="14"/>
      <c r="P321" s="14">
        <f>Tabelle2[[#This Row],[propertyID]]</f>
        <v>319</v>
      </c>
      <c r="Q321" s="14"/>
      <c r="R321" s="14"/>
      <c r="T321" s="14"/>
      <c r="U321" s="14"/>
      <c r="V321" s="14"/>
      <c r="W321" s="14"/>
      <c r="X321" s="14"/>
    </row>
    <row r="322" spans="1:24" x14ac:dyDescent="0.25">
      <c r="A322">
        <v>320</v>
      </c>
      <c r="B322">
        <v>5</v>
      </c>
      <c r="C322" t="s">
        <v>1062</v>
      </c>
      <c r="D322" t="s">
        <v>1076</v>
      </c>
      <c r="E322" s="25" t="s">
        <v>21</v>
      </c>
      <c r="F322" s="26" t="s">
        <v>923</v>
      </c>
      <c r="G322" t="s">
        <v>1589</v>
      </c>
      <c r="H322" s="23">
        <v>19</v>
      </c>
      <c r="I322" s="23" t="str">
        <f>Tabelle2[[#This Row],[category]]&amp;TEXT(Tabelle2[[#This Row],[internal_order]],"00")</f>
        <v>519</v>
      </c>
      <c r="J322" s="15"/>
      <c r="K322" s="15">
        <f>Tabelle2[[#This Row],[propertyID]]</f>
        <v>320</v>
      </c>
      <c r="L322" s="15"/>
      <c r="M322" s="15"/>
      <c r="O322" s="14"/>
      <c r="P322" s="14">
        <f>Tabelle2[[#This Row],[propertyID]]</f>
        <v>320</v>
      </c>
      <c r="Q322" s="14"/>
      <c r="R322" s="14"/>
      <c r="T322" s="14"/>
      <c r="U322" s="14"/>
      <c r="V322" s="14"/>
      <c r="W322" s="14"/>
      <c r="X322" s="14"/>
    </row>
    <row r="323" spans="1:24" x14ac:dyDescent="0.25">
      <c r="F323" s="14"/>
      <c r="H323" s="23"/>
      <c r="I323" s="23"/>
      <c r="J323" s="15"/>
      <c r="K323" s="27"/>
      <c r="L323" s="15"/>
      <c r="M323" s="15"/>
      <c r="O323" s="14"/>
      <c r="P323" s="28"/>
      <c r="Q323" s="14"/>
      <c r="R323" s="14"/>
      <c r="T323" s="14"/>
      <c r="U323" s="14"/>
      <c r="V323" s="14"/>
      <c r="W323" s="14"/>
      <c r="X323" s="14"/>
    </row>
    <row r="324" spans="1:24" x14ac:dyDescent="0.25">
      <c r="F324" s="14"/>
      <c r="H324" s="23"/>
      <c r="I324" s="23"/>
      <c r="J324" s="15"/>
      <c r="K324" s="27"/>
      <c r="L324" s="15"/>
      <c r="M324" s="15"/>
      <c r="O324" s="14"/>
      <c r="P324" s="28"/>
      <c r="Q324" s="14"/>
      <c r="R324" s="14"/>
      <c r="T324" s="14"/>
      <c r="U324" s="14"/>
      <c r="V324" s="14"/>
      <c r="W324" s="14"/>
      <c r="X324" s="14"/>
    </row>
    <row r="325" spans="1:24" x14ac:dyDescent="0.25">
      <c r="F325" s="14"/>
      <c r="H325" s="23"/>
      <c r="I325" s="23"/>
      <c r="J325" s="15"/>
      <c r="K325" s="27"/>
      <c r="L325" s="15"/>
      <c r="M325" s="15"/>
      <c r="O325" s="14"/>
      <c r="P325" s="28"/>
      <c r="Q325" s="14"/>
      <c r="R325" s="14"/>
      <c r="T325" s="14"/>
      <c r="U325" s="14"/>
      <c r="V325" s="14"/>
      <c r="W325" s="14"/>
      <c r="X325" s="14"/>
    </row>
  </sheetData>
  <sortState xmlns:xlrd2="http://schemas.microsoft.com/office/spreadsheetml/2017/richdata2" ref="B78:M103">
    <sortCondition ref="B78:B103"/>
  </sortState>
  <mergeCells count="2">
    <mergeCell ref="A1:E1"/>
    <mergeCell ref="F1:G1"/>
  </mergeCells>
  <phoneticPr fontId="3" type="noConversion"/>
  <conditionalFormatting sqref="J3:J325 L3:M325 G251:H308 S251:S308 E248:F308 A3:A325 D309:F485">
    <cfRule type="expression" dxfId="4" priority="22">
      <formula>IF(A3="",TRUE,FALSE)</formula>
    </cfRule>
  </conditionalFormatting>
  <conditionalFormatting sqref="L234:L239">
    <cfRule type="expression" dxfId="3" priority="5">
      <formula>IF(L234="",TRUE,FALSE)</formula>
    </cfRule>
  </conditionalFormatting>
  <conditionalFormatting sqref="M231:M240">
    <cfRule type="expression" dxfId="2" priority="3">
      <formula>IF(M231="",TRUE,FALSE)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1570-ABED-0D4C-8CED-63B4C16AB079}">
  <dimension ref="A1:F14"/>
  <sheetViews>
    <sheetView workbookViewId="0">
      <selection activeCell="A2" sqref="A2:D14"/>
    </sheetView>
  </sheetViews>
  <sheetFormatPr defaultColWidth="11.42578125" defaultRowHeight="15" x14ac:dyDescent="0.25"/>
  <cols>
    <col min="2" max="2" width="12.7109375" customWidth="1"/>
  </cols>
  <sheetData>
    <row r="1" spans="1:6" x14ac:dyDescent="0.25">
      <c r="A1" t="s">
        <v>1469</v>
      </c>
      <c r="B1" t="s">
        <v>835</v>
      </c>
      <c r="C1" t="s">
        <v>1470</v>
      </c>
      <c r="D1" t="s">
        <v>1471</v>
      </c>
    </row>
    <row r="2" spans="1:6" x14ac:dyDescent="0.25">
      <c r="A2">
        <v>1</v>
      </c>
      <c r="B2">
        <v>92</v>
      </c>
      <c r="C2">
        <v>0</v>
      </c>
      <c r="D2" t="s">
        <v>1473</v>
      </c>
      <c r="E2" t="s">
        <v>1391</v>
      </c>
      <c r="F2" t="s">
        <v>1385</v>
      </c>
    </row>
    <row r="3" spans="1:6" x14ac:dyDescent="0.25">
      <c r="A3">
        <v>2</v>
      </c>
      <c r="B3">
        <v>92</v>
      </c>
      <c r="C3">
        <v>1</v>
      </c>
      <c r="D3" t="s">
        <v>1472</v>
      </c>
    </row>
    <row r="4" spans="1:6" x14ac:dyDescent="0.25">
      <c r="A4">
        <v>3</v>
      </c>
      <c r="B4">
        <v>93</v>
      </c>
      <c r="C4">
        <v>0</v>
      </c>
      <c r="D4" t="s">
        <v>1473</v>
      </c>
      <c r="E4" t="s">
        <v>1389</v>
      </c>
      <c r="F4" t="s">
        <v>1390</v>
      </c>
    </row>
    <row r="5" spans="1:6" x14ac:dyDescent="0.25">
      <c r="A5">
        <v>4</v>
      </c>
      <c r="B5">
        <v>93</v>
      </c>
      <c r="C5">
        <v>1</v>
      </c>
      <c r="D5" t="s">
        <v>1472</v>
      </c>
    </row>
    <row r="6" spans="1:6" x14ac:dyDescent="0.25">
      <c r="A6">
        <v>5</v>
      </c>
      <c r="B6">
        <v>94</v>
      </c>
      <c r="C6">
        <v>0</v>
      </c>
      <c r="D6" t="s">
        <v>1473</v>
      </c>
      <c r="E6" t="s">
        <v>1387</v>
      </c>
      <c r="F6" t="s">
        <v>884</v>
      </c>
    </row>
    <row r="7" spans="1:6" x14ac:dyDescent="0.25">
      <c r="A7">
        <v>6</v>
      </c>
      <c r="B7">
        <v>94</v>
      </c>
      <c r="C7">
        <v>1</v>
      </c>
      <c r="D7" t="s">
        <v>1476</v>
      </c>
    </row>
    <row r="8" spans="1:6" x14ac:dyDescent="0.25">
      <c r="A8">
        <v>7</v>
      </c>
      <c r="B8">
        <v>94</v>
      </c>
      <c r="C8">
        <v>2</v>
      </c>
      <c r="D8" t="s">
        <v>1477</v>
      </c>
      <c r="E8" t="s">
        <v>1388</v>
      </c>
      <c r="F8" t="s">
        <v>886</v>
      </c>
    </row>
    <row r="9" spans="1:6" x14ac:dyDescent="0.25">
      <c r="A9">
        <v>8</v>
      </c>
      <c r="B9">
        <v>94</v>
      </c>
      <c r="C9">
        <v>3</v>
      </c>
      <c r="D9" t="s">
        <v>1478</v>
      </c>
    </row>
    <row r="10" spans="1:6" x14ac:dyDescent="0.25">
      <c r="A10">
        <v>9</v>
      </c>
      <c r="B10">
        <v>94</v>
      </c>
      <c r="C10">
        <v>4</v>
      </c>
      <c r="D10" t="s">
        <v>1479</v>
      </c>
    </row>
    <row r="11" spans="1:6" x14ac:dyDescent="0.25">
      <c r="A11">
        <v>10</v>
      </c>
      <c r="B11">
        <v>95</v>
      </c>
      <c r="C11">
        <v>0</v>
      </c>
      <c r="D11" t="s">
        <v>1473</v>
      </c>
    </row>
    <row r="12" spans="1:6" x14ac:dyDescent="0.25">
      <c r="A12">
        <v>11</v>
      </c>
      <c r="B12">
        <v>95</v>
      </c>
      <c r="C12">
        <v>1</v>
      </c>
      <c r="D12" t="s">
        <v>1475</v>
      </c>
    </row>
    <row r="13" spans="1:6" x14ac:dyDescent="0.25">
      <c r="A13">
        <v>12</v>
      </c>
      <c r="B13">
        <v>96</v>
      </c>
      <c r="C13">
        <v>0</v>
      </c>
      <c r="D13" t="s">
        <v>1473</v>
      </c>
      <c r="E13" t="s">
        <v>1386</v>
      </c>
      <c r="F13" t="s">
        <v>885</v>
      </c>
    </row>
    <row r="14" spans="1:6" x14ac:dyDescent="0.25">
      <c r="A14">
        <v>13</v>
      </c>
      <c r="B14">
        <v>96</v>
      </c>
      <c r="C14">
        <v>1</v>
      </c>
      <c r="D14" t="s">
        <v>1474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D5B3-3BEE-0743-8D04-8BFBDF3C6059}">
  <dimension ref="A1:T104"/>
  <sheetViews>
    <sheetView workbookViewId="0">
      <selection activeCell="A57" sqref="A57"/>
    </sheetView>
  </sheetViews>
  <sheetFormatPr defaultColWidth="11.42578125" defaultRowHeight="15" x14ac:dyDescent="0.25"/>
  <sheetData>
    <row r="1" spans="1:1" x14ac:dyDescent="0.25">
      <c r="A1" t="s">
        <v>1444</v>
      </c>
    </row>
    <row r="2" spans="1:1" x14ac:dyDescent="0.25">
      <c r="A2" t="s">
        <v>1427</v>
      </c>
    </row>
    <row r="3" spans="1:1" x14ac:dyDescent="0.25">
      <c r="A3" t="s">
        <v>1428</v>
      </c>
    </row>
    <row r="4" spans="1:1" x14ac:dyDescent="0.25">
      <c r="A4" t="s">
        <v>1439</v>
      </c>
    </row>
    <row r="5" spans="1:1" x14ac:dyDescent="0.25">
      <c r="A5" t="s">
        <v>1441</v>
      </c>
    </row>
    <row r="6" spans="1:1" x14ac:dyDescent="0.25">
      <c r="A6" t="s">
        <v>1456</v>
      </c>
    </row>
    <row r="7" spans="1:1" x14ac:dyDescent="0.25">
      <c r="A7" t="s">
        <v>570</v>
      </c>
    </row>
    <row r="8" spans="1:1" x14ac:dyDescent="0.25">
      <c r="A8" t="s">
        <v>273</v>
      </c>
    </row>
    <row r="9" spans="1:1" x14ac:dyDescent="0.25">
      <c r="A9" t="s">
        <v>548</v>
      </c>
    </row>
    <row r="10" spans="1:1" x14ac:dyDescent="0.25">
      <c r="A10" t="s">
        <v>83</v>
      </c>
    </row>
    <row r="11" spans="1:1" x14ac:dyDescent="0.25">
      <c r="A11" t="s">
        <v>85</v>
      </c>
    </row>
    <row r="12" spans="1:1" x14ac:dyDescent="0.25">
      <c r="A12" t="s">
        <v>1429</v>
      </c>
    </row>
    <row r="13" spans="1:1" x14ac:dyDescent="0.25">
      <c r="A13" t="s">
        <v>1440</v>
      </c>
    </row>
    <row r="14" spans="1:1" x14ac:dyDescent="0.25">
      <c r="A14" t="s">
        <v>569</v>
      </c>
    </row>
    <row r="15" spans="1:1" x14ac:dyDescent="0.25">
      <c r="A15" t="s">
        <v>863</v>
      </c>
    </row>
    <row r="16" spans="1:1" x14ac:dyDescent="0.25">
      <c r="A16" t="s">
        <v>1430</v>
      </c>
    </row>
    <row r="17" spans="1:1" x14ac:dyDescent="0.25">
      <c r="A17" t="s">
        <v>566</v>
      </c>
    </row>
    <row r="18" spans="1:1" x14ac:dyDescent="0.25">
      <c r="A18" t="s">
        <v>1431</v>
      </c>
    </row>
    <row r="19" spans="1:1" x14ac:dyDescent="0.25">
      <c r="A19" t="s">
        <v>1432</v>
      </c>
    </row>
    <row r="20" spans="1:1" x14ac:dyDescent="0.25">
      <c r="A20" t="s">
        <v>918</v>
      </c>
    </row>
    <row r="21" spans="1:1" x14ac:dyDescent="0.25">
      <c r="A21" t="s">
        <v>920</v>
      </c>
    </row>
    <row r="22" spans="1:1" x14ac:dyDescent="0.25">
      <c r="A22" t="s">
        <v>1433</v>
      </c>
    </row>
    <row r="23" spans="1:1" x14ac:dyDescent="0.25">
      <c r="A23" t="s">
        <v>1438</v>
      </c>
    </row>
    <row r="24" spans="1:1" x14ac:dyDescent="0.25">
      <c r="A24" t="s">
        <v>1437</v>
      </c>
    </row>
    <row r="25" spans="1:1" x14ac:dyDescent="0.25">
      <c r="A25" t="s">
        <v>1434</v>
      </c>
    </row>
    <row r="26" spans="1:1" x14ac:dyDescent="0.25">
      <c r="A26" t="s">
        <v>1448</v>
      </c>
    </row>
    <row r="27" spans="1:1" x14ac:dyDescent="0.25">
      <c r="A27" t="s">
        <v>1435</v>
      </c>
    </row>
    <row r="28" spans="1:1" x14ac:dyDescent="0.25">
      <c r="A28" t="s">
        <v>561</v>
      </c>
    </row>
    <row r="29" spans="1:1" x14ac:dyDescent="0.25">
      <c r="A29" t="s">
        <v>574</v>
      </c>
    </row>
    <row r="30" spans="1:1" x14ac:dyDescent="0.25">
      <c r="A30" t="s">
        <v>572</v>
      </c>
    </row>
    <row r="31" spans="1:1" x14ac:dyDescent="0.25">
      <c r="A31" t="s">
        <v>545</v>
      </c>
    </row>
    <row r="32" spans="1:1" x14ac:dyDescent="0.25">
      <c r="A32" t="s">
        <v>577</v>
      </c>
    </row>
    <row r="33" spans="1:20" x14ac:dyDescent="0.25">
      <c r="A33" t="s">
        <v>547</v>
      </c>
    </row>
    <row r="34" spans="1:20" x14ac:dyDescent="0.25">
      <c r="A34" t="s">
        <v>1450</v>
      </c>
    </row>
    <row r="35" spans="1:20" x14ac:dyDescent="0.25">
      <c r="A35" t="s">
        <v>1449</v>
      </c>
    </row>
    <row r="36" spans="1:20" x14ac:dyDescent="0.25">
      <c r="A36" t="s">
        <v>1436</v>
      </c>
    </row>
    <row r="37" spans="1:20" x14ac:dyDescent="0.25">
      <c r="A37" t="s">
        <v>1455</v>
      </c>
    </row>
    <row r="38" spans="1:20" x14ac:dyDescent="0.25">
      <c r="A38" t="s">
        <v>568</v>
      </c>
    </row>
    <row r="39" spans="1:20" x14ac:dyDescent="0.25">
      <c r="A39" t="s">
        <v>550</v>
      </c>
    </row>
    <row r="40" spans="1:20" x14ac:dyDescent="0.25">
      <c r="A40" t="s">
        <v>1454</v>
      </c>
    </row>
    <row r="41" spans="1:20" x14ac:dyDescent="0.25">
      <c r="A41" t="s">
        <v>1451</v>
      </c>
    </row>
    <row r="42" spans="1:20" x14ac:dyDescent="0.25">
      <c r="A42" t="s">
        <v>1452</v>
      </c>
    </row>
    <row r="43" spans="1:20" x14ac:dyDescent="0.25">
      <c r="A43" t="s">
        <v>1453</v>
      </c>
    </row>
    <row r="44" spans="1:20" x14ac:dyDescent="0.25">
      <c r="A44" t="s">
        <v>564</v>
      </c>
    </row>
    <row r="45" spans="1:20" x14ac:dyDescent="0.25">
      <c r="A45" t="s">
        <v>1442</v>
      </c>
    </row>
    <row r="46" spans="1:20" x14ac:dyDescent="0.25">
      <c r="A46" t="s">
        <v>563</v>
      </c>
    </row>
    <row r="47" spans="1:20" x14ac:dyDescent="0.25">
      <c r="A47" t="s">
        <v>576</v>
      </c>
    </row>
    <row r="48" spans="1:20" x14ac:dyDescent="0.25">
      <c r="A48" t="s">
        <v>575</v>
      </c>
      <c r="T48" s="18"/>
    </row>
    <row r="49" spans="1:1" x14ac:dyDescent="0.25">
      <c r="A49" t="s">
        <v>573</v>
      </c>
    </row>
    <row r="50" spans="1:1" x14ac:dyDescent="0.25">
      <c r="A50" t="s">
        <v>567</v>
      </c>
    </row>
    <row r="51" spans="1:1" x14ac:dyDescent="0.25">
      <c r="A51" t="s">
        <v>1446</v>
      </c>
    </row>
    <row r="52" spans="1:1" x14ac:dyDescent="0.25">
      <c r="A52" t="s">
        <v>1445</v>
      </c>
    </row>
    <row r="53" spans="1:1" x14ac:dyDescent="0.25">
      <c r="A53" t="s">
        <v>1447</v>
      </c>
    </row>
    <row r="54" spans="1:1" x14ac:dyDescent="0.25">
      <c r="A54" t="s">
        <v>1443</v>
      </c>
    </row>
    <row r="55" spans="1:1" x14ac:dyDescent="0.25">
      <c r="A55" t="s">
        <v>1337</v>
      </c>
    </row>
    <row r="56" spans="1:1" x14ac:dyDescent="0.25">
      <c r="A56" t="s">
        <v>1290</v>
      </c>
    </row>
    <row r="104" spans="12:12" x14ac:dyDescent="0.25">
      <c r="L104" s="1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4976-7229-4097-82D7-B5F3F0F5C659}">
  <dimension ref="A1:Z86"/>
  <sheetViews>
    <sheetView tabSelected="1" workbookViewId="0">
      <pane xSplit="2" ySplit="1" topLeftCell="H54" activePane="bottomRight" state="frozen"/>
      <selection pane="topRight" activeCell="C1" sqref="C1"/>
      <selection pane="bottomLeft" activeCell="A2" sqref="A2"/>
      <selection pane="bottomRight" activeCell="Y82" sqref="Y82"/>
    </sheetView>
  </sheetViews>
  <sheetFormatPr defaultColWidth="11.42578125" defaultRowHeight="15" x14ac:dyDescent="0.25"/>
  <cols>
    <col min="1" max="1" width="19.42578125" customWidth="1"/>
    <col min="3" max="3" width="22.5703125" customWidth="1"/>
    <col min="6" max="6" width="13.140625" customWidth="1"/>
    <col min="7" max="8" width="11.7109375" customWidth="1"/>
    <col min="9" max="9" width="10" customWidth="1"/>
  </cols>
  <sheetData>
    <row r="1" spans="1:25" x14ac:dyDescent="0.25">
      <c r="A1" t="s">
        <v>1001</v>
      </c>
      <c r="B1" t="s">
        <v>828</v>
      </c>
      <c r="C1" t="s">
        <v>978</v>
      </c>
      <c r="D1" t="s">
        <v>979</v>
      </c>
      <c r="E1" t="s">
        <v>832</v>
      </c>
      <c r="F1" t="s">
        <v>990</v>
      </c>
      <c r="G1" t="s">
        <v>833</v>
      </c>
      <c r="H1" s="14" t="s">
        <v>1464</v>
      </c>
      <c r="I1" t="s">
        <v>1465</v>
      </c>
      <c r="J1" t="s">
        <v>991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  <c r="P1" t="s">
        <v>1008</v>
      </c>
      <c r="Q1" t="s">
        <v>1458</v>
      </c>
      <c r="R1" t="s">
        <v>1003</v>
      </c>
      <c r="S1" t="s">
        <v>981</v>
      </c>
      <c r="T1" t="s">
        <v>1163</v>
      </c>
      <c r="U1" t="s">
        <v>1088</v>
      </c>
      <c r="V1" t="s">
        <v>1459</v>
      </c>
      <c r="W1" t="s">
        <v>1460</v>
      </c>
      <c r="X1" t="s">
        <v>1461</v>
      </c>
      <c r="Y1" t="s">
        <v>1462</v>
      </c>
    </row>
    <row r="2" spans="1:25" x14ac:dyDescent="0.25">
      <c r="A2" s="19">
        <v>1</v>
      </c>
      <c r="B2" s="19" t="s">
        <v>666</v>
      </c>
      <c r="C2" s="19" t="s">
        <v>685</v>
      </c>
      <c r="D2" s="19" t="s">
        <v>685</v>
      </c>
      <c r="E2" s="19" t="s">
        <v>41</v>
      </c>
      <c r="F2" s="19" t="s">
        <v>922</v>
      </c>
      <c r="G2" s="19"/>
      <c r="H2" s="14">
        <f>Tabelle3[[#This Row],[variableID]]</f>
        <v>1</v>
      </c>
      <c r="I2" s="14">
        <v>1</v>
      </c>
      <c r="J2" s="14">
        <v>1</v>
      </c>
      <c r="K2" s="14">
        <v>0</v>
      </c>
      <c r="L2" s="14">
        <v>100</v>
      </c>
      <c r="M2" s="14">
        <v>1</v>
      </c>
      <c r="N2" s="14">
        <v>8</v>
      </c>
      <c r="O2" s="14">
        <v>1</v>
      </c>
      <c r="P2" s="15">
        <v>1</v>
      </c>
      <c r="Q2" s="15">
        <f>Tabelle3[[#This Row],[variableID]]</f>
        <v>1</v>
      </c>
      <c r="R2" s="15">
        <v>1</v>
      </c>
      <c r="S2" s="15" t="s">
        <v>955</v>
      </c>
      <c r="T2" s="15" t="s">
        <v>1533</v>
      </c>
      <c r="U2" s="21">
        <v>2</v>
      </c>
      <c r="V2" s="21">
        <f>Tabelle3[[#This Row],[variableID]]</f>
        <v>1</v>
      </c>
      <c r="W2" s="21">
        <v>1</v>
      </c>
      <c r="X2" s="21" t="s">
        <v>955</v>
      </c>
      <c r="Y2" s="21" t="s">
        <v>1533</v>
      </c>
    </row>
    <row r="3" spans="1:25" x14ac:dyDescent="0.25">
      <c r="A3" s="19">
        <v>2</v>
      </c>
      <c r="B3" s="19" t="s">
        <v>522</v>
      </c>
      <c r="C3" s="19" t="s">
        <v>687</v>
      </c>
      <c r="D3" s="19" t="s">
        <v>687</v>
      </c>
      <c r="E3" s="19" t="s">
        <v>41</v>
      </c>
      <c r="F3" s="19" t="s">
        <v>922</v>
      </c>
      <c r="G3" s="19"/>
      <c r="H3" s="14">
        <f>Tabelle3[[#This Row],[variableID]]</f>
        <v>2</v>
      </c>
      <c r="I3" s="14">
        <v>1</v>
      </c>
      <c r="J3" s="14">
        <v>1</v>
      </c>
      <c r="K3" s="14">
        <v>0</v>
      </c>
      <c r="L3" s="14">
        <v>5</v>
      </c>
      <c r="M3" s="14">
        <v>1</v>
      </c>
      <c r="N3" s="14">
        <v>15</v>
      </c>
      <c r="O3" s="14">
        <v>1</v>
      </c>
      <c r="P3" s="15">
        <v>1</v>
      </c>
      <c r="Q3" s="15">
        <f>Tabelle3[[#This Row],[variableID]]</f>
        <v>2</v>
      </c>
      <c r="R3" s="15">
        <v>1</v>
      </c>
      <c r="S3" s="15" t="s">
        <v>955</v>
      </c>
      <c r="T3" s="15" t="s">
        <v>1534</v>
      </c>
      <c r="U3" s="21">
        <v>2</v>
      </c>
      <c r="V3" s="21">
        <f>Tabelle3[[#This Row],[variableID]]</f>
        <v>2</v>
      </c>
      <c r="W3" s="21">
        <v>1</v>
      </c>
      <c r="X3" s="21" t="s">
        <v>955</v>
      </c>
      <c r="Y3" s="21" t="s">
        <v>1534</v>
      </c>
    </row>
    <row r="4" spans="1:25" x14ac:dyDescent="0.25">
      <c r="A4" s="19">
        <v>3</v>
      </c>
      <c r="B4" s="19" t="s">
        <v>523</v>
      </c>
      <c r="C4" s="19" t="s">
        <v>688</v>
      </c>
      <c r="D4" s="19" t="s">
        <v>688</v>
      </c>
      <c r="E4" s="19" t="s">
        <v>41</v>
      </c>
      <c r="F4" s="19" t="s">
        <v>922</v>
      </c>
      <c r="G4" s="19"/>
      <c r="H4" s="14">
        <f>Tabelle3[[#This Row],[variableID]]</f>
        <v>3</v>
      </c>
      <c r="I4" s="14">
        <v>0</v>
      </c>
      <c r="J4" s="14">
        <v>1</v>
      </c>
      <c r="K4" s="14">
        <v>0</v>
      </c>
      <c r="L4" s="14">
        <v>10</v>
      </c>
      <c r="M4" s="14">
        <v>2</v>
      </c>
      <c r="N4" s="14">
        <v>19</v>
      </c>
      <c r="O4" s="14">
        <v>1</v>
      </c>
      <c r="P4" s="15">
        <v>1</v>
      </c>
      <c r="Q4" s="15">
        <f>Tabelle3[[#This Row],[variableID]]</f>
        <v>3</v>
      </c>
      <c r="R4" s="15">
        <v>1</v>
      </c>
      <c r="S4" s="15" t="s">
        <v>955</v>
      </c>
      <c r="T4" s="15" t="s">
        <v>1543</v>
      </c>
      <c r="U4" s="21">
        <v>2</v>
      </c>
      <c r="V4" s="21">
        <f>Tabelle3[[#This Row],[variableID]]</f>
        <v>3</v>
      </c>
      <c r="W4" s="21">
        <v>1</v>
      </c>
      <c r="X4" s="21" t="s">
        <v>955</v>
      </c>
      <c r="Y4" s="21" t="s">
        <v>1543</v>
      </c>
    </row>
    <row r="5" spans="1:25" x14ac:dyDescent="0.25">
      <c r="A5" s="19">
        <v>4</v>
      </c>
      <c r="B5" s="19" t="s">
        <v>667</v>
      </c>
      <c r="C5" s="19" t="s">
        <v>689</v>
      </c>
      <c r="D5" s="19" t="s">
        <v>689</v>
      </c>
      <c r="E5" s="19" t="s">
        <v>41</v>
      </c>
      <c r="F5" s="19" t="s">
        <v>922</v>
      </c>
      <c r="G5" s="19"/>
      <c r="H5" s="14">
        <f>Tabelle3[[#This Row],[variableID]]</f>
        <v>4</v>
      </c>
      <c r="I5" s="14">
        <v>0</v>
      </c>
      <c r="J5" s="14">
        <v>1</v>
      </c>
      <c r="K5" s="14">
        <v>0</v>
      </c>
      <c r="L5" s="14">
        <v>1E-3</v>
      </c>
      <c r="M5" s="14">
        <v>4</v>
      </c>
      <c r="N5" s="14">
        <v>9</v>
      </c>
      <c r="O5" s="14">
        <v>1</v>
      </c>
      <c r="P5" s="15">
        <v>1</v>
      </c>
      <c r="Q5" s="15">
        <f>Tabelle3[[#This Row],[variableID]]</f>
        <v>4</v>
      </c>
      <c r="R5" s="15">
        <v>1</v>
      </c>
      <c r="S5" s="15" t="s">
        <v>955</v>
      </c>
      <c r="T5" s="15" t="s">
        <v>1535</v>
      </c>
      <c r="U5" s="21">
        <v>2</v>
      </c>
      <c r="V5" s="21">
        <f>Tabelle3[[#This Row],[variableID]]</f>
        <v>4</v>
      </c>
      <c r="W5" s="21">
        <v>1</v>
      </c>
      <c r="X5" s="21" t="s">
        <v>1463</v>
      </c>
      <c r="Y5" s="21" t="s">
        <v>1535</v>
      </c>
    </row>
    <row r="6" spans="1:25" x14ac:dyDescent="0.25">
      <c r="A6" s="19">
        <v>5</v>
      </c>
      <c r="B6" s="19" t="s">
        <v>680</v>
      </c>
      <c r="C6" s="19" t="s">
        <v>906</v>
      </c>
      <c r="D6" s="19" t="s">
        <v>906</v>
      </c>
      <c r="E6" s="19" t="s">
        <v>326</v>
      </c>
      <c r="F6" s="19" t="s">
        <v>924</v>
      </c>
      <c r="G6" s="19"/>
      <c r="H6" s="14">
        <f>Tabelle3[[#This Row],[variableID]]</f>
        <v>5</v>
      </c>
      <c r="I6" s="14">
        <v>1</v>
      </c>
      <c r="J6" s="14">
        <v>1</v>
      </c>
      <c r="K6" s="14">
        <v>0</v>
      </c>
      <c r="L6" s="14">
        <v>10</v>
      </c>
      <c r="M6" s="14">
        <v>4</v>
      </c>
      <c r="N6" s="14">
        <v>18</v>
      </c>
      <c r="O6" s="14">
        <v>1</v>
      </c>
      <c r="P6" s="15">
        <v>1</v>
      </c>
      <c r="Q6" s="15">
        <f>Tabelle3[[#This Row],[variableID]]</f>
        <v>5</v>
      </c>
      <c r="R6" s="15">
        <v>1</v>
      </c>
      <c r="S6" s="15" t="s">
        <v>955</v>
      </c>
      <c r="T6" s="15">
        <v>0</v>
      </c>
      <c r="U6" s="21">
        <v>2</v>
      </c>
      <c r="V6" s="21">
        <f>Tabelle3[[#This Row],[variableID]]</f>
        <v>5</v>
      </c>
      <c r="W6" s="21">
        <v>1</v>
      </c>
      <c r="X6" s="21" t="s">
        <v>955</v>
      </c>
      <c r="Y6" s="21">
        <v>0</v>
      </c>
    </row>
    <row r="7" spans="1:25" x14ac:dyDescent="0.25">
      <c r="A7" s="19">
        <v>6</v>
      </c>
      <c r="B7" s="19" t="s">
        <v>1247</v>
      </c>
      <c r="C7" s="19" t="s">
        <v>1248</v>
      </c>
      <c r="D7" s="19" t="s">
        <v>1248</v>
      </c>
      <c r="E7" s="19" t="s">
        <v>41</v>
      </c>
      <c r="F7" s="19" t="s">
        <v>922</v>
      </c>
      <c r="G7" s="19"/>
      <c r="H7" s="14">
        <f>Tabelle3[[#This Row],[variableID]]</f>
        <v>6</v>
      </c>
      <c r="I7" s="14">
        <v>0</v>
      </c>
      <c r="J7" s="14">
        <v>1</v>
      </c>
      <c r="K7" s="14">
        <v>0</v>
      </c>
      <c r="L7" s="14">
        <v>10</v>
      </c>
      <c r="M7" s="14">
        <v>3</v>
      </c>
      <c r="N7" s="14">
        <v>6</v>
      </c>
      <c r="O7" s="14">
        <v>1</v>
      </c>
      <c r="P7" s="15">
        <v>1</v>
      </c>
      <c r="Q7" s="15">
        <f>Tabelle3[[#This Row],[variableID]]</f>
        <v>6</v>
      </c>
      <c r="R7" s="15">
        <v>0</v>
      </c>
      <c r="S7" s="15" t="s">
        <v>955</v>
      </c>
      <c r="T7" s="15" t="s">
        <v>1573</v>
      </c>
      <c r="U7" s="21">
        <v>2</v>
      </c>
      <c r="V7" s="21">
        <f>Tabelle3[[#This Row],[variableID]]</f>
        <v>6</v>
      </c>
      <c r="W7" s="21">
        <v>0</v>
      </c>
      <c r="X7" s="21" t="s">
        <v>955</v>
      </c>
      <c r="Y7" s="21" t="s">
        <v>1573</v>
      </c>
    </row>
    <row r="8" spans="1:25" x14ac:dyDescent="0.25">
      <c r="A8" s="19">
        <v>7</v>
      </c>
      <c r="B8" s="19" t="s">
        <v>1249</v>
      </c>
      <c r="C8" s="19" t="s">
        <v>1250</v>
      </c>
      <c r="D8" s="19" t="s">
        <v>1250</v>
      </c>
      <c r="E8" s="19" t="s">
        <v>41</v>
      </c>
      <c r="F8" s="19" t="s">
        <v>922</v>
      </c>
      <c r="G8" s="19"/>
      <c r="H8" s="14">
        <f>Tabelle3[[#This Row],[variableID]]</f>
        <v>7</v>
      </c>
      <c r="I8" s="14">
        <v>0</v>
      </c>
      <c r="J8" s="14">
        <v>1</v>
      </c>
      <c r="K8" s="14">
        <v>0</v>
      </c>
      <c r="L8" s="14">
        <v>10</v>
      </c>
      <c r="M8" s="14">
        <v>3</v>
      </c>
      <c r="N8" s="14">
        <v>6</v>
      </c>
      <c r="O8" s="14">
        <v>1</v>
      </c>
      <c r="P8" s="15">
        <v>1</v>
      </c>
      <c r="Q8" s="15">
        <f>Tabelle3[[#This Row],[variableID]]</f>
        <v>7</v>
      </c>
      <c r="R8" s="15">
        <v>0</v>
      </c>
      <c r="S8" s="15" t="s">
        <v>955</v>
      </c>
      <c r="T8" s="15" t="s">
        <v>1574</v>
      </c>
      <c r="U8" s="21">
        <v>2</v>
      </c>
      <c r="V8" s="21">
        <f>Tabelle3[[#This Row],[variableID]]</f>
        <v>7</v>
      </c>
      <c r="W8" s="21">
        <v>0</v>
      </c>
      <c r="X8" s="21" t="s">
        <v>955</v>
      </c>
      <c r="Y8" s="21" t="s">
        <v>1574</v>
      </c>
    </row>
    <row r="9" spans="1:25" x14ac:dyDescent="0.25">
      <c r="A9" s="19">
        <v>8</v>
      </c>
      <c r="B9" s="19" t="s">
        <v>526</v>
      </c>
      <c r="C9" s="19" t="s">
        <v>698</v>
      </c>
      <c r="D9" s="19" t="s">
        <v>698</v>
      </c>
      <c r="E9" s="19" t="s">
        <v>4</v>
      </c>
      <c r="F9" s="19" t="s">
        <v>4</v>
      </c>
      <c r="G9" s="19"/>
      <c r="H9" s="14">
        <f>Tabelle3[[#This Row],[variableID]]</f>
        <v>8</v>
      </c>
      <c r="I9" s="14">
        <v>1</v>
      </c>
      <c r="J9" s="14">
        <v>0</v>
      </c>
      <c r="K9" s="14">
        <v>0</v>
      </c>
      <c r="L9" s="14">
        <v>100</v>
      </c>
      <c r="M9" s="14">
        <v>1</v>
      </c>
      <c r="N9" s="14">
        <v>6</v>
      </c>
      <c r="O9" s="14">
        <v>1</v>
      </c>
      <c r="P9" s="15">
        <v>1</v>
      </c>
      <c r="Q9" s="15">
        <f>Tabelle3[[#This Row],[variableID]]</f>
        <v>8</v>
      </c>
      <c r="R9" s="15">
        <v>1</v>
      </c>
      <c r="S9" s="15" t="s">
        <v>955</v>
      </c>
      <c r="T9" s="15" t="s">
        <v>1536</v>
      </c>
      <c r="U9" s="21">
        <v>2</v>
      </c>
      <c r="V9" s="21">
        <f>Tabelle3[[#This Row],[variableID]]</f>
        <v>8</v>
      </c>
      <c r="W9" s="21">
        <v>1</v>
      </c>
      <c r="X9" s="21" t="s">
        <v>955</v>
      </c>
      <c r="Y9" s="21" t="s">
        <v>1536</v>
      </c>
    </row>
    <row r="10" spans="1:25" x14ac:dyDescent="0.25">
      <c r="A10" s="19">
        <v>9</v>
      </c>
      <c r="B10" s="19" t="s">
        <v>672</v>
      </c>
      <c r="C10" s="19" t="s">
        <v>693</v>
      </c>
      <c r="D10" s="19" t="s">
        <v>693</v>
      </c>
      <c r="E10" s="19" t="s">
        <v>684</v>
      </c>
      <c r="F10" s="19" t="s">
        <v>684</v>
      </c>
      <c r="G10" s="19"/>
      <c r="H10" s="14">
        <f>Tabelle3[[#This Row],[variableID]]</f>
        <v>9</v>
      </c>
      <c r="I10" s="14">
        <v>1</v>
      </c>
      <c r="J10" s="14">
        <v>1</v>
      </c>
      <c r="K10" s="14">
        <v>0</v>
      </c>
      <c r="L10" s="14">
        <v>2000</v>
      </c>
      <c r="M10" s="14">
        <v>1</v>
      </c>
      <c r="N10" s="14">
        <v>1</v>
      </c>
      <c r="O10" s="14">
        <v>1</v>
      </c>
      <c r="P10" s="15">
        <v>1</v>
      </c>
      <c r="Q10" s="15">
        <f>Tabelle3[[#This Row],[variableID]]</f>
        <v>9</v>
      </c>
      <c r="R10" s="15">
        <v>1</v>
      </c>
      <c r="S10" s="15" t="s">
        <v>955</v>
      </c>
      <c r="T10" s="15" t="s">
        <v>1537</v>
      </c>
      <c r="U10" s="21">
        <v>2</v>
      </c>
      <c r="V10" s="21">
        <f>Tabelle3[[#This Row],[variableID]]</f>
        <v>9</v>
      </c>
      <c r="W10" s="21">
        <v>1</v>
      </c>
      <c r="X10" s="21" t="s">
        <v>955</v>
      </c>
      <c r="Y10" s="21" t="s">
        <v>1537</v>
      </c>
    </row>
    <row r="11" spans="1:25" x14ac:dyDescent="0.25">
      <c r="A11" s="19">
        <v>10</v>
      </c>
      <c r="B11" s="19" t="s">
        <v>673</v>
      </c>
      <c r="C11" s="19" t="s">
        <v>692</v>
      </c>
      <c r="D11" s="19" t="s">
        <v>692</v>
      </c>
      <c r="E11" s="19" t="s">
        <v>10</v>
      </c>
      <c r="F11" s="19" t="s">
        <v>925</v>
      </c>
      <c r="G11" s="19"/>
      <c r="H11" s="14">
        <f>Tabelle3[[#This Row],[variableID]]</f>
        <v>10</v>
      </c>
      <c r="I11" s="14">
        <v>0</v>
      </c>
      <c r="J11" s="14">
        <v>1</v>
      </c>
      <c r="K11" s="14">
        <v>0</v>
      </c>
      <c r="L11" s="14">
        <v>10</v>
      </c>
      <c r="M11" s="14">
        <v>1</v>
      </c>
      <c r="N11" s="14">
        <v>7</v>
      </c>
      <c r="O11" s="14">
        <v>1</v>
      </c>
      <c r="P11" s="15">
        <v>1</v>
      </c>
      <c r="Q11" s="15">
        <f>Tabelle3[[#This Row],[variableID]]</f>
        <v>10</v>
      </c>
      <c r="R11" s="15">
        <v>1</v>
      </c>
      <c r="S11" s="15" t="s">
        <v>955</v>
      </c>
      <c r="T11" s="15" t="s">
        <v>1566</v>
      </c>
      <c r="U11" s="21">
        <v>2</v>
      </c>
      <c r="V11" s="21">
        <f>Tabelle3[[#This Row],[variableID]]</f>
        <v>10</v>
      </c>
      <c r="W11" s="21">
        <v>1</v>
      </c>
      <c r="X11" s="21" t="s">
        <v>955</v>
      </c>
      <c r="Y11" s="21" t="s">
        <v>1566</v>
      </c>
    </row>
    <row r="12" spans="1:25" x14ac:dyDescent="0.25">
      <c r="A12" s="19">
        <v>11</v>
      </c>
      <c r="B12" s="19" t="s">
        <v>982</v>
      </c>
      <c r="C12" s="19" t="s">
        <v>986</v>
      </c>
      <c r="D12" s="19" t="s">
        <v>986</v>
      </c>
      <c r="E12" s="19" t="s">
        <v>10</v>
      </c>
      <c r="F12" s="19" t="s">
        <v>925</v>
      </c>
      <c r="G12" s="19"/>
      <c r="H12" s="14">
        <f>Tabelle3[[#This Row],[variableID]]</f>
        <v>11</v>
      </c>
      <c r="I12" s="14">
        <v>0</v>
      </c>
      <c r="J12" s="14">
        <v>1</v>
      </c>
      <c r="K12" s="14">
        <v>0</v>
      </c>
      <c r="L12" s="14">
        <v>10</v>
      </c>
      <c r="M12" s="14">
        <v>4</v>
      </c>
      <c r="N12" s="14">
        <v>6</v>
      </c>
      <c r="O12" s="14">
        <v>1</v>
      </c>
      <c r="P12" s="15">
        <v>1</v>
      </c>
      <c r="Q12" s="15">
        <f>Tabelle3[[#This Row],[variableID]]</f>
        <v>11</v>
      </c>
      <c r="R12" s="15">
        <v>1</v>
      </c>
      <c r="S12" s="15" t="s">
        <v>955</v>
      </c>
      <c r="T12" s="15" t="s">
        <v>1538</v>
      </c>
      <c r="U12" s="21">
        <v>2</v>
      </c>
      <c r="V12" s="21">
        <f>Tabelle3[[#This Row],[variableID]]</f>
        <v>11</v>
      </c>
      <c r="W12" s="21">
        <v>1</v>
      </c>
      <c r="X12" s="21" t="s">
        <v>955</v>
      </c>
      <c r="Y12" s="21" t="s">
        <v>1538</v>
      </c>
    </row>
    <row r="13" spans="1:25" x14ac:dyDescent="0.25">
      <c r="A13" s="19">
        <v>12</v>
      </c>
      <c r="B13" s="19" t="s">
        <v>983</v>
      </c>
      <c r="C13" s="19" t="s">
        <v>987</v>
      </c>
      <c r="D13" s="19" t="s">
        <v>987</v>
      </c>
      <c r="E13" s="19" t="s">
        <v>10</v>
      </c>
      <c r="F13" s="19" t="s">
        <v>925</v>
      </c>
      <c r="G13" s="19"/>
      <c r="H13" s="14">
        <f>Tabelle3[[#This Row],[variableID]]</f>
        <v>12</v>
      </c>
      <c r="I13" s="14">
        <v>0</v>
      </c>
      <c r="J13" s="14">
        <v>1</v>
      </c>
      <c r="K13" s="14">
        <v>0</v>
      </c>
      <c r="L13" s="14">
        <v>10</v>
      </c>
      <c r="M13" s="14">
        <v>4</v>
      </c>
      <c r="N13" s="14">
        <v>1</v>
      </c>
      <c r="O13" s="14">
        <v>1</v>
      </c>
      <c r="P13" s="15">
        <v>1</v>
      </c>
      <c r="Q13" s="15">
        <f>Tabelle3[[#This Row],[variableID]]</f>
        <v>12</v>
      </c>
      <c r="R13" s="15">
        <v>1</v>
      </c>
      <c r="S13" s="15" t="s">
        <v>955</v>
      </c>
      <c r="T13" s="15" t="s">
        <v>1539</v>
      </c>
      <c r="U13" s="21">
        <v>2</v>
      </c>
      <c r="V13" s="21">
        <f>Tabelle3[[#This Row],[variableID]]</f>
        <v>12</v>
      </c>
      <c r="W13" s="21">
        <v>1</v>
      </c>
      <c r="X13" s="21" t="s">
        <v>955</v>
      </c>
      <c r="Y13" s="21" t="s">
        <v>1539</v>
      </c>
    </row>
    <row r="14" spans="1:25" x14ac:dyDescent="0.25">
      <c r="A14" s="19">
        <v>13</v>
      </c>
      <c r="B14" s="19" t="s">
        <v>984</v>
      </c>
      <c r="C14" s="19" t="s">
        <v>988</v>
      </c>
      <c r="D14" s="19" t="s">
        <v>988</v>
      </c>
      <c r="E14" s="19" t="s">
        <v>10</v>
      </c>
      <c r="F14" s="19" t="s">
        <v>925</v>
      </c>
      <c r="G14" s="19"/>
      <c r="H14" s="14">
        <f>Tabelle3[[#This Row],[variableID]]</f>
        <v>13</v>
      </c>
      <c r="I14" s="14">
        <v>0</v>
      </c>
      <c r="J14" s="14">
        <v>1</v>
      </c>
      <c r="K14" s="14">
        <v>0</v>
      </c>
      <c r="L14" s="14">
        <v>10</v>
      </c>
      <c r="M14" s="14">
        <v>1</v>
      </c>
      <c r="N14" s="14">
        <v>5</v>
      </c>
      <c r="O14" s="14">
        <v>1</v>
      </c>
      <c r="P14" s="15">
        <v>1</v>
      </c>
      <c r="Q14" s="15">
        <f>Tabelle3[[#This Row],[variableID]]</f>
        <v>13</v>
      </c>
      <c r="R14" s="15">
        <v>1</v>
      </c>
      <c r="S14" s="15" t="s">
        <v>955</v>
      </c>
      <c r="T14" s="15" t="s">
        <v>1540</v>
      </c>
      <c r="U14" s="21">
        <v>2</v>
      </c>
      <c r="V14" s="21">
        <f>Tabelle3[[#This Row],[variableID]]</f>
        <v>13</v>
      </c>
      <c r="W14" s="21">
        <v>1</v>
      </c>
      <c r="X14" s="21" t="s">
        <v>955</v>
      </c>
      <c r="Y14" s="21" t="s">
        <v>1540</v>
      </c>
    </row>
    <row r="15" spans="1:25" x14ac:dyDescent="0.25">
      <c r="A15" s="19">
        <v>14</v>
      </c>
      <c r="B15" s="19" t="s">
        <v>985</v>
      </c>
      <c r="C15" s="19" t="s">
        <v>989</v>
      </c>
      <c r="D15" s="19" t="s">
        <v>989</v>
      </c>
      <c r="E15" s="19" t="s">
        <v>10</v>
      </c>
      <c r="F15" s="19" t="s">
        <v>925</v>
      </c>
      <c r="G15" s="19"/>
      <c r="H15" s="14">
        <f>Tabelle3[[#This Row],[variableID]]</f>
        <v>14</v>
      </c>
      <c r="I15" s="14">
        <v>0</v>
      </c>
      <c r="J15" s="14">
        <v>1</v>
      </c>
      <c r="K15" s="14">
        <v>0</v>
      </c>
      <c r="L15" s="14">
        <v>10</v>
      </c>
      <c r="M15" s="14">
        <v>1</v>
      </c>
      <c r="N15" s="14">
        <v>2</v>
      </c>
      <c r="O15" s="14">
        <v>1</v>
      </c>
      <c r="P15" s="15">
        <v>1</v>
      </c>
      <c r="Q15" s="15">
        <f>Tabelle3[[#This Row],[variableID]]</f>
        <v>14</v>
      </c>
      <c r="R15" s="15">
        <v>1</v>
      </c>
      <c r="S15" s="15" t="s">
        <v>955</v>
      </c>
      <c r="T15" s="15" t="s">
        <v>1541</v>
      </c>
      <c r="U15" s="21">
        <v>2</v>
      </c>
      <c r="V15" s="21">
        <f>Tabelle3[[#This Row],[variableID]]</f>
        <v>14</v>
      </c>
      <c r="W15" s="21">
        <v>1</v>
      </c>
      <c r="X15" s="21" t="s">
        <v>955</v>
      </c>
      <c r="Y15" s="21" t="s">
        <v>1541</v>
      </c>
    </row>
    <row r="16" spans="1:25" x14ac:dyDescent="0.25">
      <c r="A16" s="19">
        <v>15</v>
      </c>
      <c r="B16" s="19" t="s">
        <v>674</v>
      </c>
      <c r="C16" s="19" t="s">
        <v>696</v>
      </c>
      <c r="D16" s="19" t="s">
        <v>696</v>
      </c>
      <c r="E16" s="19" t="s">
        <v>26</v>
      </c>
      <c r="F16" s="19" t="s">
        <v>26</v>
      </c>
      <c r="G16" s="19"/>
      <c r="H16" s="14">
        <f>Tabelle3[[#This Row],[variableID]]</f>
        <v>15</v>
      </c>
      <c r="I16" s="14">
        <v>0</v>
      </c>
      <c r="J16" s="14">
        <v>0</v>
      </c>
      <c r="K16" s="14">
        <v>5</v>
      </c>
      <c r="L16" s="14">
        <v>8</v>
      </c>
      <c r="M16" s="14">
        <v>2</v>
      </c>
      <c r="N16" s="14">
        <v>3</v>
      </c>
      <c r="O16" s="14">
        <v>1</v>
      </c>
      <c r="P16" s="15">
        <v>1</v>
      </c>
      <c r="Q16" s="15">
        <f>Tabelle3[[#This Row],[variableID]]</f>
        <v>15</v>
      </c>
      <c r="R16" s="15">
        <v>1</v>
      </c>
      <c r="S16" s="15" t="s">
        <v>955</v>
      </c>
      <c r="T16" s="15" t="s">
        <v>1542</v>
      </c>
      <c r="U16" s="21">
        <v>2</v>
      </c>
      <c r="V16" s="21">
        <f>Tabelle3[[#This Row],[variableID]]</f>
        <v>15</v>
      </c>
      <c r="W16" s="21">
        <v>1</v>
      </c>
      <c r="X16" s="21" t="s">
        <v>955</v>
      </c>
      <c r="Y16" s="21" t="s">
        <v>1542</v>
      </c>
    </row>
    <row r="17" spans="1:25" x14ac:dyDescent="0.25">
      <c r="A17" s="19">
        <v>16</v>
      </c>
      <c r="B17" s="19" t="s">
        <v>542</v>
      </c>
      <c r="C17" s="19" t="s">
        <v>697</v>
      </c>
      <c r="D17" s="19" t="s">
        <v>697</v>
      </c>
      <c r="E17" s="19" t="s">
        <v>29</v>
      </c>
      <c r="F17" s="19" t="s">
        <v>29</v>
      </c>
      <c r="G17" s="19"/>
      <c r="H17" s="14">
        <f>Tabelle3[[#This Row],[variableID]]</f>
        <v>16</v>
      </c>
      <c r="I17" s="14">
        <v>1</v>
      </c>
      <c r="J17" s="14">
        <v>1</v>
      </c>
      <c r="K17" s="14">
        <v>30</v>
      </c>
      <c r="L17" s="14">
        <v>40</v>
      </c>
      <c r="M17" s="14">
        <v>1</v>
      </c>
      <c r="N17" s="14">
        <v>4</v>
      </c>
      <c r="O17" s="14">
        <v>1</v>
      </c>
      <c r="P17" s="15">
        <v>1</v>
      </c>
      <c r="Q17" s="15">
        <f>Tabelle3[[#This Row],[variableID]]</f>
        <v>16</v>
      </c>
      <c r="R17" s="15">
        <v>1</v>
      </c>
      <c r="S17" s="15" t="s">
        <v>955</v>
      </c>
      <c r="T17" s="15" t="s">
        <v>1544</v>
      </c>
      <c r="U17" s="21">
        <v>2</v>
      </c>
      <c r="V17" s="21">
        <f>Tabelle3[[#This Row],[variableID]]</f>
        <v>16</v>
      </c>
      <c r="W17" s="21">
        <v>1</v>
      </c>
      <c r="X17" s="21" t="s">
        <v>955</v>
      </c>
      <c r="Y17" s="21" t="s">
        <v>1544</v>
      </c>
    </row>
    <row r="18" spans="1:25" x14ac:dyDescent="0.25">
      <c r="A18" s="19">
        <v>17</v>
      </c>
      <c r="B18" s="19" t="s">
        <v>959</v>
      </c>
      <c r="C18" s="19" t="s">
        <v>960</v>
      </c>
      <c r="D18" s="19" t="s">
        <v>960</v>
      </c>
      <c r="E18" s="19" t="s">
        <v>961</v>
      </c>
      <c r="F18" s="19" t="s">
        <v>961</v>
      </c>
      <c r="G18" s="19"/>
      <c r="H18" s="14">
        <f>Tabelle3[[#This Row],[variableID]]</f>
        <v>17</v>
      </c>
      <c r="I18" s="14">
        <v>0</v>
      </c>
      <c r="J18" s="14">
        <v>0</v>
      </c>
      <c r="K18" s="14">
        <v>0</v>
      </c>
      <c r="L18" s="14">
        <v>20000</v>
      </c>
      <c r="M18" s="14">
        <v>1</v>
      </c>
      <c r="N18" s="14">
        <v>6</v>
      </c>
      <c r="O18" s="14">
        <v>1</v>
      </c>
      <c r="P18" s="15">
        <v>1</v>
      </c>
      <c r="Q18" s="15">
        <f>Tabelle3[[#This Row],[variableID]]</f>
        <v>17</v>
      </c>
      <c r="R18" s="15">
        <v>1</v>
      </c>
      <c r="S18" s="15" t="s">
        <v>955</v>
      </c>
      <c r="T18" s="15" t="s">
        <v>1545</v>
      </c>
      <c r="U18" s="21">
        <v>2</v>
      </c>
      <c r="V18" s="21">
        <f>Tabelle3[[#This Row],[variableID]]</f>
        <v>17</v>
      </c>
      <c r="W18" s="21">
        <v>1</v>
      </c>
      <c r="X18" s="21" t="s">
        <v>955</v>
      </c>
      <c r="Y18" s="21" t="s">
        <v>1545</v>
      </c>
    </row>
    <row r="19" spans="1:25" x14ac:dyDescent="0.25">
      <c r="A19" s="19">
        <v>18</v>
      </c>
      <c r="B19" s="19" t="s">
        <v>675</v>
      </c>
      <c r="C19" s="19" t="s">
        <v>703</v>
      </c>
      <c r="D19" s="19" t="s">
        <v>703</v>
      </c>
      <c r="E19" s="19" t="s">
        <v>26</v>
      </c>
      <c r="F19" s="19" t="s">
        <v>26</v>
      </c>
      <c r="G19" s="19"/>
      <c r="H19" s="14">
        <f>Tabelle3[[#This Row],[variableID]]</f>
        <v>18</v>
      </c>
      <c r="I19" s="14">
        <v>0</v>
      </c>
      <c r="J19" s="14">
        <v>1</v>
      </c>
      <c r="K19" s="14">
        <v>0</v>
      </c>
      <c r="L19" s="14">
        <v>1</v>
      </c>
      <c r="M19" s="14">
        <v>4</v>
      </c>
      <c r="N19" s="14">
        <v>3</v>
      </c>
      <c r="O19" s="14">
        <v>1</v>
      </c>
      <c r="P19" s="15">
        <v>1</v>
      </c>
      <c r="Q19" s="15">
        <f>Tabelle3[[#This Row],[variableID]]</f>
        <v>18</v>
      </c>
      <c r="R19" s="15">
        <v>1</v>
      </c>
      <c r="S19" s="15" t="s">
        <v>955</v>
      </c>
      <c r="T19" s="15" t="s">
        <v>1546</v>
      </c>
      <c r="U19" s="21">
        <v>2</v>
      </c>
      <c r="V19" s="21">
        <f>Tabelle3[[#This Row],[variableID]]</f>
        <v>18</v>
      </c>
      <c r="W19" s="21">
        <v>1</v>
      </c>
      <c r="X19" s="21" t="s">
        <v>955</v>
      </c>
      <c r="Y19" s="21" t="s">
        <v>1546</v>
      </c>
    </row>
    <row r="20" spans="1:25" x14ac:dyDescent="0.25">
      <c r="A20" s="19">
        <v>20</v>
      </c>
      <c r="B20" s="19" t="s">
        <v>670</v>
      </c>
      <c r="C20" s="19" t="s">
        <v>904</v>
      </c>
      <c r="D20" s="19" t="s">
        <v>904</v>
      </c>
      <c r="E20" s="19" t="s">
        <v>26</v>
      </c>
      <c r="F20" s="19" t="s">
        <v>26</v>
      </c>
      <c r="G20" s="19"/>
      <c r="H20" s="14">
        <f>Tabelle3[[#This Row],[variableID]]</f>
        <v>20</v>
      </c>
      <c r="I20" s="14">
        <v>0</v>
      </c>
      <c r="J20" s="14">
        <v>1</v>
      </c>
      <c r="K20" s="14">
        <v>0</v>
      </c>
      <c r="L20" s="14">
        <v>1</v>
      </c>
      <c r="M20" s="14">
        <v>4</v>
      </c>
      <c r="N20" s="14">
        <v>7</v>
      </c>
      <c r="O20" s="14">
        <v>1</v>
      </c>
      <c r="P20" s="15">
        <v>1</v>
      </c>
      <c r="Q20" s="15">
        <f>Tabelle3[[#This Row],[variableID]]</f>
        <v>20</v>
      </c>
      <c r="R20" s="15">
        <v>1</v>
      </c>
      <c r="S20" s="15" t="s">
        <v>955</v>
      </c>
      <c r="T20" s="15" t="s">
        <v>1546</v>
      </c>
      <c r="U20" s="21">
        <v>2</v>
      </c>
      <c r="V20" s="21">
        <f>Tabelle3[[#This Row],[variableID]]</f>
        <v>20</v>
      </c>
      <c r="W20" s="21">
        <v>1</v>
      </c>
      <c r="X20" s="21" t="s">
        <v>955</v>
      </c>
      <c r="Y20" s="21" t="s">
        <v>1546</v>
      </c>
    </row>
    <row r="21" spans="1:25" x14ac:dyDescent="0.25">
      <c r="A21" s="19">
        <v>21</v>
      </c>
      <c r="B21" s="19" t="s">
        <v>907</v>
      </c>
      <c r="C21" s="19" t="s">
        <v>908</v>
      </c>
      <c r="D21" s="19" t="s">
        <v>908</v>
      </c>
      <c r="E21" s="19" t="s">
        <v>26</v>
      </c>
      <c r="F21" s="19" t="s">
        <v>26</v>
      </c>
      <c r="G21" s="19"/>
      <c r="H21" s="14">
        <f>Tabelle3[[#This Row],[variableID]]</f>
        <v>21</v>
      </c>
      <c r="I21" s="14">
        <v>0</v>
      </c>
      <c r="J21" s="14">
        <v>1</v>
      </c>
      <c r="K21" s="14">
        <v>0</v>
      </c>
      <c r="L21" s="14">
        <v>1</v>
      </c>
      <c r="M21" s="14">
        <v>4</v>
      </c>
      <c r="N21" s="14">
        <v>19</v>
      </c>
      <c r="O21" s="14">
        <v>1</v>
      </c>
      <c r="P21" s="15">
        <v>1</v>
      </c>
      <c r="Q21" s="15">
        <f>Tabelle3[[#This Row],[variableID]]</f>
        <v>21</v>
      </c>
      <c r="R21" s="15">
        <v>1</v>
      </c>
      <c r="S21" s="15" t="s">
        <v>955</v>
      </c>
      <c r="T21" s="15" t="s">
        <v>1547</v>
      </c>
      <c r="U21" s="21">
        <v>2</v>
      </c>
      <c r="V21" s="21">
        <f>Tabelle3[[#This Row],[variableID]]</f>
        <v>21</v>
      </c>
      <c r="W21" s="21">
        <v>1</v>
      </c>
      <c r="X21" s="21" t="s">
        <v>955</v>
      </c>
      <c r="Y21" s="21" t="s">
        <v>1547</v>
      </c>
    </row>
    <row r="22" spans="1:25" x14ac:dyDescent="0.25">
      <c r="A22" s="19">
        <v>22</v>
      </c>
      <c r="B22" s="19" t="s">
        <v>671</v>
      </c>
      <c r="C22" s="19" t="s">
        <v>905</v>
      </c>
      <c r="D22" s="19" t="s">
        <v>905</v>
      </c>
      <c r="E22" s="19" t="s">
        <v>26</v>
      </c>
      <c r="F22" s="19" t="s">
        <v>26</v>
      </c>
      <c r="G22" s="19"/>
      <c r="H22" s="14">
        <f>Tabelle3[[#This Row],[variableID]]</f>
        <v>22</v>
      </c>
      <c r="I22" s="14">
        <v>0</v>
      </c>
      <c r="J22" s="14">
        <v>1</v>
      </c>
      <c r="K22" s="14">
        <v>0</v>
      </c>
      <c r="L22" s="14">
        <v>1</v>
      </c>
      <c r="M22" s="14">
        <v>3</v>
      </c>
      <c r="N22" s="14">
        <v>19</v>
      </c>
      <c r="O22" s="14">
        <v>1</v>
      </c>
      <c r="P22" s="15">
        <v>1</v>
      </c>
      <c r="Q22" s="15">
        <f>Tabelle3[[#This Row],[variableID]]</f>
        <v>22</v>
      </c>
      <c r="R22" s="15">
        <v>1</v>
      </c>
      <c r="S22" s="15" t="s">
        <v>955</v>
      </c>
      <c r="T22" s="15" t="s">
        <v>1548</v>
      </c>
      <c r="U22" s="21">
        <v>2</v>
      </c>
      <c r="V22" s="21">
        <f>Tabelle3[[#This Row],[variableID]]</f>
        <v>22</v>
      </c>
      <c r="W22" s="21">
        <v>1</v>
      </c>
      <c r="X22" s="21" t="s">
        <v>955</v>
      </c>
      <c r="Y22" s="21" t="s">
        <v>1548</v>
      </c>
    </row>
    <row r="23" spans="1:25" x14ac:dyDescent="0.25">
      <c r="A23" s="19">
        <v>23</v>
      </c>
      <c r="B23" s="19" t="s">
        <v>525</v>
      </c>
      <c r="C23" s="19" t="s">
        <v>686</v>
      </c>
      <c r="D23" s="19" t="s">
        <v>686</v>
      </c>
      <c r="E23" s="19" t="s">
        <v>41</v>
      </c>
      <c r="F23" s="19" t="s">
        <v>922</v>
      </c>
      <c r="G23" s="19"/>
      <c r="H23" s="14">
        <f>Tabelle3[[#This Row],[variableID]]</f>
        <v>23</v>
      </c>
      <c r="I23" s="14">
        <v>0</v>
      </c>
      <c r="J23" s="14">
        <v>1</v>
      </c>
      <c r="K23" s="14">
        <v>0</v>
      </c>
      <c r="L23" s="14">
        <v>0.1</v>
      </c>
      <c r="M23" s="14">
        <v>1</v>
      </c>
      <c r="N23" s="14">
        <v>1</v>
      </c>
      <c r="O23" s="14">
        <v>1</v>
      </c>
      <c r="P23" s="15">
        <v>1</v>
      </c>
      <c r="Q23" s="15">
        <f>Tabelle3[[#This Row],[variableID]]</f>
        <v>23</v>
      </c>
      <c r="R23" s="15">
        <v>1</v>
      </c>
      <c r="S23" s="15" t="s">
        <v>955</v>
      </c>
      <c r="T23" s="15" t="s">
        <v>1549</v>
      </c>
      <c r="U23" s="21">
        <v>2</v>
      </c>
      <c r="V23" s="21">
        <f>Tabelle3[[#This Row],[variableID]]</f>
        <v>23</v>
      </c>
      <c r="W23" s="21">
        <v>1</v>
      </c>
      <c r="X23" s="21" t="s">
        <v>955</v>
      </c>
      <c r="Y23" s="21" t="s">
        <v>1549</v>
      </c>
    </row>
    <row r="24" spans="1:25" x14ac:dyDescent="0.25">
      <c r="A24" s="19">
        <v>24</v>
      </c>
      <c r="B24" s="19" t="s">
        <v>909</v>
      </c>
      <c r="C24" s="19" t="s">
        <v>909</v>
      </c>
      <c r="D24" s="19" t="s">
        <v>909</v>
      </c>
      <c r="E24" s="19" t="s">
        <v>910</v>
      </c>
      <c r="F24" s="19" t="s">
        <v>926</v>
      </c>
      <c r="G24" s="19"/>
      <c r="H24" s="14">
        <f>Tabelle3[[#This Row],[variableID]]</f>
        <v>24</v>
      </c>
      <c r="I24" s="14">
        <v>0</v>
      </c>
      <c r="J24" s="14">
        <v>1</v>
      </c>
      <c r="K24" s="14">
        <v>0</v>
      </c>
      <c r="L24" s="14">
        <v>2</v>
      </c>
      <c r="M24" s="14">
        <v>1</v>
      </c>
      <c r="N24" s="14">
        <v>6</v>
      </c>
      <c r="O24" s="14">
        <v>1</v>
      </c>
      <c r="P24" s="15">
        <v>1</v>
      </c>
      <c r="Q24" s="15">
        <f>Tabelle3[[#This Row],[variableID]]</f>
        <v>24</v>
      </c>
      <c r="R24" s="15">
        <v>1</v>
      </c>
      <c r="S24" s="15" t="s">
        <v>955</v>
      </c>
      <c r="T24" s="15">
        <v>0.1</v>
      </c>
      <c r="U24" s="21">
        <v>2</v>
      </c>
      <c r="V24" s="21">
        <f>Tabelle3[[#This Row],[variableID]]</f>
        <v>24</v>
      </c>
      <c r="W24" s="21">
        <v>1</v>
      </c>
      <c r="X24" s="21" t="s">
        <v>955</v>
      </c>
      <c r="Y24" s="21">
        <v>0.1</v>
      </c>
    </row>
    <row r="25" spans="1:25" x14ac:dyDescent="0.25">
      <c r="A25" s="19">
        <v>25</v>
      </c>
      <c r="B25" s="19" t="s">
        <v>911</v>
      </c>
      <c r="C25" s="19" t="s">
        <v>912</v>
      </c>
      <c r="D25" s="19" t="s">
        <v>912</v>
      </c>
      <c r="E25" s="19" t="s">
        <v>913</v>
      </c>
      <c r="F25" s="19" t="s">
        <v>927</v>
      </c>
      <c r="G25" s="19"/>
      <c r="H25" s="14">
        <f>Tabelle3[[#This Row],[variableID]]</f>
        <v>25</v>
      </c>
      <c r="I25" s="14">
        <v>0</v>
      </c>
      <c r="J25" s="14">
        <v>0</v>
      </c>
      <c r="K25" s="14">
        <v>0</v>
      </c>
      <c r="L25" s="14">
        <v>1</v>
      </c>
      <c r="M25" s="14">
        <v>1</v>
      </c>
      <c r="N25" s="14">
        <v>6</v>
      </c>
      <c r="O25" s="14">
        <v>1</v>
      </c>
      <c r="P25" s="15">
        <v>1</v>
      </c>
      <c r="Q25" s="15">
        <f>Tabelle3[[#This Row],[variableID]]</f>
        <v>25</v>
      </c>
      <c r="R25" s="15">
        <v>1</v>
      </c>
      <c r="S25" s="15" t="s">
        <v>970</v>
      </c>
      <c r="T25" s="15" t="s">
        <v>1567</v>
      </c>
      <c r="U25" s="21">
        <v>2</v>
      </c>
      <c r="V25" s="21">
        <f>Tabelle3[[#This Row],[variableID]]</f>
        <v>25</v>
      </c>
      <c r="W25" s="21">
        <v>1</v>
      </c>
      <c r="X25" s="21" t="s">
        <v>970</v>
      </c>
      <c r="Y25" s="21" t="s">
        <v>1567</v>
      </c>
    </row>
    <row r="26" spans="1:25" x14ac:dyDescent="0.25">
      <c r="A26" s="19">
        <v>26</v>
      </c>
      <c r="B26" s="19" t="s">
        <v>914</v>
      </c>
      <c r="C26" s="19" t="s">
        <v>915</v>
      </c>
      <c r="D26" s="19" t="s">
        <v>915</v>
      </c>
      <c r="E26" s="19" t="s">
        <v>913</v>
      </c>
      <c r="F26" s="19" t="s">
        <v>927</v>
      </c>
      <c r="G26" s="19"/>
      <c r="H26" s="14">
        <f>Tabelle3[[#This Row],[variableID]]</f>
        <v>26</v>
      </c>
      <c r="I26" s="14">
        <v>0</v>
      </c>
      <c r="J26" s="14">
        <v>1</v>
      </c>
      <c r="K26" s="14">
        <v>0</v>
      </c>
      <c r="L26" s="14">
        <v>1</v>
      </c>
      <c r="M26" s="14">
        <v>4</v>
      </c>
      <c r="N26" s="14">
        <v>2</v>
      </c>
      <c r="O26" s="14">
        <v>1</v>
      </c>
      <c r="P26" s="15">
        <v>1</v>
      </c>
      <c r="Q26" s="15">
        <f>Tabelle3[[#This Row],[variableID]]</f>
        <v>26</v>
      </c>
      <c r="R26" s="15">
        <v>1</v>
      </c>
      <c r="S26" s="15" t="s">
        <v>970</v>
      </c>
      <c r="T26" s="15" t="s">
        <v>1568</v>
      </c>
      <c r="U26" s="21">
        <v>2</v>
      </c>
      <c r="V26" s="21">
        <f>Tabelle3[[#This Row],[variableID]]</f>
        <v>26</v>
      </c>
      <c r="W26" s="21">
        <v>1</v>
      </c>
      <c r="X26" s="21" t="s">
        <v>970</v>
      </c>
      <c r="Y26" s="21" t="s">
        <v>1568</v>
      </c>
    </row>
    <row r="27" spans="1:25" x14ac:dyDescent="0.25">
      <c r="A27" s="19">
        <v>27</v>
      </c>
      <c r="B27" s="19" t="s">
        <v>916</v>
      </c>
      <c r="C27" s="19" t="s">
        <v>916</v>
      </c>
      <c r="D27" s="19" t="s">
        <v>916</v>
      </c>
      <c r="E27" s="19" t="s">
        <v>913</v>
      </c>
      <c r="F27" s="19" t="s">
        <v>927</v>
      </c>
      <c r="G27" s="19"/>
      <c r="H27" s="14">
        <f>Tabelle3[[#This Row],[variableID]]</f>
        <v>27</v>
      </c>
      <c r="I27" s="14">
        <v>0</v>
      </c>
      <c r="J27" s="14">
        <v>1</v>
      </c>
      <c r="K27" s="14">
        <v>0</v>
      </c>
      <c r="L27" s="14">
        <v>1</v>
      </c>
      <c r="M27" s="14">
        <v>4</v>
      </c>
      <c r="N27" s="14">
        <v>13</v>
      </c>
      <c r="O27" s="14">
        <v>1</v>
      </c>
      <c r="P27" s="15">
        <v>1</v>
      </c>
      <c r="Q27" s="15">
        <f>Tabelle3[[#This Row],[variableID]]</f>
        <v>27</v>
      </c>
      <c r="R27" s="15">
        <v>1</v>
      </c>
      <c r="S27" s="15" t="s">
        <v>955</v>
      </c>
      <c r="T27" s="15" t="s">
        <v>1569</v>
      </c>
      <c r="U27" s="21">
        <v>2</v>
      </c>
      <c r="V27" s="21">
        <f>Tabelle3[[#This Row],[variableID]]</f>
        <v>27</v>
      </c>
      <c r="W27" s="21">
        <v>1</v>
      </c>
      <c r="X27" s="21" t="s">
        <v>955</v>
      </c>
      <c r="Y27" s="21" t="s">
        <v>1569</v>
      </c>
    </row>
    <row r="28" spans="1:25" x14ac:dyDescent="0.25">
      <c r="A28" s="19">
        <v>28</v>
      </c>
      <c r="B28" s="19" t="s">
        <v>917</v>
      </c>
      <c r="C28" s="19" t="s">
        <v>917</v>
      </c>
      <c r="D28" s="19" t="s">
        <v>917</v>
      </c>
      <c r="E28" s="19" t="s">
        <v>913</v>
      </c>
      <c r="F28" s="19" t="s">
        <v>927</v>
      </c>
      <c r="G28" s="19"/>
      <c r="H28" s="14">
        <f>Tabelle3[[#This Row],[variableID]]</f>
        <v>28</v>
      </c>
      <c r="I28" s="14">
        <v>0</v>
      </c>
      <c r="J28" s="14">
        <v>1</v>
      </c>
      <c r="K28" s="14">
        <v>0</v>
      </c>
      <c r="L28" s="14">
        <v>1</v>
      </c>
      <c r="M28" s="14">
        <v>4</v>
      </c>
      <c r="N28" s="14">
        <v>6</v>
      </c>
      <c r="O28" s="14">
        <v>1</v>
      </c>
      <c r="P28" s="15">
        <v>1</v>
      </c>
      <c r="Q28" s="15">
        <f>Tabelle3[[#This Row],[variableID]]</f>
        <v>28</v>
      </c>
      <c r="R28" s="15">
        <v>1</v>
      </c>
      <c r="S28" s="15" t="s">
        <v>955</v>
      </c>
      <c r="T28" s="15">
        <v>0</v>
      </c>
      <c r="U28" s="21">
        <v>2</v>
      </c>
      <c r="V28" s="21">
        <f>Tabelle3[[#This Row],[variableID]]</f>
        <v>28</v>
      </c>
      <c r="W28" s="21">
        <v>1</v>
      </c>
      <c r="X28" s="21" t="s">
        <v>955</v>
      </c>
      <c r="Y28" s="21">
        <v>0</v>
      </c>
    </row>
    <row r="29" spans="1:25" x14ac:dyDescent="0.25">
      <c r="A29" s="19">
        <v>29</v>
      </c>
      <c r="B29" s="19" t="s">
        <v>977</v>
      </c>
      <c r="C29" s="19" t="s">
        <v>977</v>
      </c>
      <c r="D29" s="19" t="s">
        <v>977</v>
      </c>
      <c r="E29" s="19" t="s">
        <v>913</v>
      </c>
      <c r="F29" s="19" t="s">
        <v>927</v>
      </c>
      <c r="G29" s="19"/>
      <c r="H29" s="14">
        <f>Tabelle3[[#This Row],[variableID]]</f>
        <v>29</v>
      </c>
      <c r="I29" s="14">
        <v>0</v>
      </c>
      <c r="J29" s="14">
        <v>1</v>
      </c>
      <c r="K29" s="14">
        <v>0</v>
      </c>
      <c r="L29" s="14">
        <v>1</v>
      </c>
      <c r="M29" s="14">
        <v>4</v>
      </c>
      <c r="N29" s="14">
        <v>13</v>
      </c>
      <c r="O29" s="14">
        <v>1</v>
      </c>
      <c r="P29" s="15">
        <v>1</v>
      </c>
      <c r="Q29" s="15">
        <f>Tabelle3[[#This Row],[variableID]]</f>
        <v>29</v>
      </c>
      <c r="R29" s="15">
        <v>1</v>
      </c>
      <c r="S29" s="15" t="s">
        <v>955</v>
      </c>
      <c r="T29" s="15">
        <v>0</v>
      </c>
      <c r="U29" s="21">
        <v>2</v>
      </c>
      <c r="V29" s="21">
        <f>Tabelle3[[#This Row],[variableID]]</f>
        <v>29</v>
      </c>
      <c r="W29" s="21">
        <v>1</v>
      </c>
      <c r="X29" s="21" t="s">
        <v>955</v>
      </c>
      <c r="Y29" s="21">
        <v>0</v>
      </c>
    </row>
    <row r="30" spans="1:25" x14ac:dyDescent="0.25">
      <c r="A30" s="19">
        <v>30</v>
      </c>
      <c r="B30" s="19" t="s">
        <v>975</v>
      </c>
      <c r="C30" s="19" t="s">
        <v>976</v>
      </c>
      <c r="D30" s="19" t="s">
        <v>976</v>
      </c>
      <c r="E30" s="19" t="s">
        <v>326</v>
      </c>
      <c r="F30" s="19" t="s">
        <v>924</v>
      </c>
      <c r="G30" s="19"/>
      <c r="H30" s="14">
        <f>Tabelle3[[#This Row],[variableID]]</f>
        <v>30</v>
      </c>
      <c r="I30" s="14">
        <v>0</v>
      </c>
      <c r="J30" s="14">
        <v>1</v>
      </c>
      <c r="K30" s="14">
        <v>0</v>
      </c>
      <c r="L30" s="14">
        <v>1000</v>
      </c>
      <c r="M30" s="14">
        <v>4</v>
      </c>
      <c r="N30" s="14">
        <v>5</v>
      </c>
      <c r="O30" s="14">
        <v>1</v>
      </c>
      <c r="P30" s="15">
        <v>1</v>
      </c>
      <c r="Q30" s="15">
        <f>Tabelle3[[#This Row],[variableID]]</f>
        <v>30</v>
      </c>
      <c r="R30" s="15">
        <v>1</v>
      </c>
      <c r="S30" s="15" t="s">
        <v>955</v>
      </c>
      <c r="T30" s="15" t="s">
        <v>1550</v>
      </c>
      <c r="U30" s="21">
        <v>2</v>
      </c>
      <c r="V30" s="21">
        <f>Tabelle3[[#This Row],[variableID]]</f>
        <v>30</v>
      </c>
      <c r="W30" s="21">
        <v>1</v>
      </c>
      <c r="X30" s="21" t="s">
        <v>955</v>
      </c>
      <c r="Y30" s="21" t="s">
        <v>1550</v>
      </c>
    </row>
    <row r="31" spans="1:25" x14ac:dyDescent="0.25">
      <c r="A31" s="19">
        <v>31</v>
      </c>
      <c r="B31" s="19" t="s">
        <v>969</v>
      </c>
      <c r="C31" s="19" t="s">
        <v>969</v>
      </c>
      <c r="D31" s="19" t="s">
        <v>969</v>
      </c>
      <c r="E31" s="19" t="s">
        <v>913</v>
      </c>
      <c r="F31" s="19" t="s">
        <v>927</v>
      </c>
      <c r="G31" s="19"/>
      <c r="H31" s="14">
        <f>Tabelle3[[#This Row],[variableID]]</f>
        <v>31</v>
      </c>
      <c r="I31" s="14">
        <v>0</v>
      </c>
      <c r="J31" s="14">
        <v>1</v>
      </c>
      <c r="K31" s="14">
        <v>0</v>
      </c>
      <c r="L31" s="14">
        <v>1</v>
      </c>
      <c r="M31" s="14">
        <v>4</v>
      </c>
      <c r="N31" s="14">
        <v>18</v>
      </c>
      <c r="O31" s="14">
        <v>1</v>
      </c>
      <c r="P31" s="15">
        <v>1</v>
      </c>
      <c r="Q31" s="15">
        <f>Tabelle3[[#This Row],[variableID]]</f>
        <v>31</v>
      </c>
      <c r="R31" s="15">
        <v>0</v>
      </c>
      <c r="S31" s="15" t="s">
        <v>970</v>
      </c>
      <c r="T31" s="15">
        <v>0</v>
      </c>
      <c r="U31" s="21">
        <v>2</v>
      </c>
      <c r="V31" s="21">
        <f>Tabelle3[[#This Row],[variableID]]</f>
        <v>31</v>
      </c>
      <c r="W31" s="21">
        <v>0</v>
      </c>
      <c r="X31" s="21" t="s">
        <v>970</v>
      </c>
      <c r="Y31" s="21">
        <v>0</v>
      </c>
    </row>
    <row r="32" spans="1:25" x14ac:dyDescent="0.25">
      <c r="A32" s="19">
        <v>32</v>
      </c>
      <c r="B32" s="19" t="s">
        <v>669</v>
      </c>
      <c r="C32" s="19" t="s">
        <v>691</v>
      </c>
      <c r="D32" s="19" t="s">
        <v>691</v>
      </c>
      <c r="E32" s="19" t="s">
        <v>21</v>
      </c>
      <c r="F32" s="19" t="s">
        <v>923</v>
      </c>
      <c r="G32" s="19"/>
      <c r="H32" s="14">
        <f>Tabelle3[[#This Row],[variableID]]</f>
        <v>32</v>
      </c>
      <c r="I32" s="14">
        <v>0</v>
      </c>
      <c r="J32" s="14">
        <v>1</v>
      </c>
      <c r="K32" s="14">
        <v>0</v>
      </c>
      <c r="L32" s="14">
        <v>1</v>
      </c>
      <c r="M32" s="14">
        <v>1</v>
      </c>
      <c r="N32" s="14">
        <v>1</v>
      </c>
      <c r="O32" s="14">
        <v>1</v>
      </c>
      <c r="P32" s="15">
        <v>1</v>
      </c>
      <c r="Q32" s="15">
        <f>Tabelle3[[#This Row],[variableID]]</f>
        <v>32</v>
      </c>
      <c r="R32" s="15">
        <v>0</v>
      </c>
      <c r="S32" s="15" t="s">
        <v>955</v>
      </c>
      <c r="T32" s="15" t="s">
        <v>1551</v>
      </c>
      <c r="U32" s="21">
        <v>2</v>
      </c>
      <c r="V32" s="21">
        <f>Tabelle3[[#This Row],[variableID]]</f>
        <v>32</v>
      </c>
      <c r="W32" s="21">
        <v>0</v>
      </c>
      <c r="X32" s="21" t="s">
        <v>955</v>
      </c>
      <c r="Y32" s="21" t="s">
        <v>1551</v>
      </c>
    </row>
    <row r="33" spans="1:25" x14ac:dyDescent="0.25">
      <c r="A33" s="19">
        <v>33</v>
      </c>
      <c r="B33" s="19" t="s">
        <v>532</v>
      </c>
      <c r="C33" s="19" t="s">
        <v>700</v>
      </c>
      <c r="D33" s="19" t="s">
        <v>700</v>
      </c>
      <c r="E33" s="19" t="s">
        <v>61</v>
      </c>
      <c r="F33" s="19" t="s">
        <v>997</v>
      </c>
      <c r="G33" s="19"/>
      <c r="H33" s="14">
        <f>Tabelle3[[#This Row],[variableID]]</f>
        <v>33</v>
      </c>
      <c r="I33" s="14">
        <v>0</v>
      </c>
      <c r="J33" s="14">
        <v>1</v>
      </c>
      <c r="K33" s="14">
        <v>0</v>
      </c>
      <c r="L33" s="14">
        <v>10</v>
      </c>
      <c r="M33" s="14">
        <v>1</v>
      </c>
      <c r="N33" s="14">
        <v>1</v>
      </c>
      <c r="O33" s="14">
        <v>1</v>
      </c>
      <c r="P33" s="15">
        <v>1</v>
      </c>
      <c r="Q33" s="15">
        <f>Tabelle3[[#This Row],[variableID]]</f>
        <v>33</v>
      </c>
      <c r="R33" s="15">
        <v>0</v>
      </c>
      <c r="S33" s="15" t="s">
        <v>955</v>
      </c>
      <c r="T33" s="15" t="s">
        <v>1552</v>
      </c>
      <c r="U33" s="21">
        <v>2</v>
      </c>
      <c r="V33" s="21">
        <f>Tabelle3[[#This Row],[variableID]]</f>
        <v>33</v>
      </c>
      <c r="W33" s="21">
        <v>0</v>
      </c>
      <c r="X33" s="21" t="s">
        <v>955</v>
      </c>
      <c r="Y33" s="21" t="s">
        <v>1552</v>
      </c>
    </row>
    <row r="34" spans="1:25" x14ac:dyDescent="0.25">
      <c r="A34" s="19">
        <v>34</v>
      </c>
      <c r="B34" s="19" t="s">
        <v>681</v>
      </c>
      <c r="C34" s="19" t="s">
        <v>699</v>
      </c>
      <c r="D34" s="19" t="s">
        <v>679</v>
      </c>
      <c r="E34" s="19" t="s">
        <v>38</v>
      </c>
      <c r="F34" s="19" t="s">
        <v>38</v>
      </c>
      <c r="G34" s="19"/>
      <c r="H34" s="14">
        <f>Tabelle3[[#This Row],[variableID]]</f>
        <v>34</v>
      </c>
      <c r="I34" s="14">
        <v>0</v>
      </c>
      <c r="J34" s="14">
        <v>1</v>
      </c>
      <c r="K34" s="14">
        <v>0</v>
      </c>
      <c r="L34" s="14">
        <v>10</v>
      </c>
      <c r="M34" s="14">
        <v>1</v>
      </c>
      <c r="N34" s="14">
        <v>1</v>
      </c>
      <c r="O34" s="14">
        <v>1</v>
      </c>
      <c r="P34" s="15">
        <v>1</v>
      </c>
      <c r="Q34" s="15">
        <f>Tabelle3[[#This Row],[variableID]]</f>
        <v>34</v>
      </c>
      <c r="R34" s="15">
        <v>1</v>
      </c>
      <c r="S34" s="15" t="s">
        <v>955</v>
      </c>
      <c r="T34" s="15">
        <v>0</v>
      </c>
      <c r="U34" s="21">
        <v>2</v>
      </c>
      <c r="V34" s="21">
        <f>Tabelle3[[#This Row],[variableID]]</f>
        <v>34</v>
      </c>
      <c r="W34" s="21">
        <v>1</v>
      </c>
      <c r="X34" s="21" t="s">
        <v>955</v>
      </c>
      <c r="Y34" s="21">
        <v>0</v>
      </c>
    </row>
    <row r="35" spans="1:25" x14ac:dyDescent="0.25">
      <c r="A35" s="19">
        <v>35</v>
      </c>
      <c r="B35" s="19" t="s">
        <v>682</v>
      </c>
      <c r="C35" s="19" t="s">
        <v>701</v>
      </c>
      <c r="D35" s="19" t="s">
        <v>678</v>
      </c>
      <c r="E35" s="19" t="s">
        <v>38</v>
      </c>
      <c r="F35" s="19" t="s">
        <v>38</v>
      </c>
      <c r="G35" s="19"/>
      <c r="H35" s="14">
        <f>Tabelle3[[#This Row],[variableID]]</f>
        <v>35</v>
      </c>
      <c r="I35" s="14">
        <v>0</v>
      </c>
      <c r="J35" s="14">
        <v>1</v>
      </c>
      <c r="K35" s="14">
        <v>0</v>
      </c>
      <c r="L35" s="14">
        <v>10</v>
      </c>
      <c r="M35" s="14">
        <v>1</v>
      </c>
      <c r="N35" s="14">
        <v>1</v>
      </c>
      <c r="O35" s="14">
        <v>1</v>
      </c>
      <c r="P35" s="15">
        <v>1</v>
      </c>
      <c r="Q35" s="15">
        <f>Tabelle3[[#This Row],[variableID]]</f>
        <v>35</v>
      </c>
      <c r="R35" s="15">
        <v>1</v>
      </c>
      <c r="S35" s="15" t="s">
        <v>955</v>
      </c>
      <c r="T35" s="15">
        <v>0</v>
      </c>
      <c r="U35" s="21">
        <v>2</v>
      </c>
      <c r="V35" s="21">
        <f>Tabelle3[[#This Row],[variableID]]</f>
        <v>35</v>
      </c>
      <c r="W35" s="21">
        <v>1</v>
      </c>
      <c r="X35" s="21" t="s">
        <v>955</v>
      </c>
      <c r="Y35" s="21">
        <v>0</v>
      </c>
    </row>
    <row r="36" spans="1:25" x14ac:dyDescent="0.25">
      <c r="A36" s="19">
        <v>36</v>
      </c>
      <c r="B36" s="19" t="s">
        <v>539</v>
      </c>
      <c r="C36" s="19" t="s">
        <v>694</v>
      </c>
      <c r="D36" s="19" t="s">
        <v>677</v>
      </c>
      <c r="E36" s="19" t="s">
        <v>38</v>
      </c>
      <c r="F36" s="19" t="s">
        <v>38</v>
      </c>
      <c r="G36" s="19"/>
      <c r="H36" s="14">
        <f>Tabelle3[[#This Row],[variableID]]</f>
        <v>36</v>
      </c>
      <c r="I36" s="14">
        <v>0</v>
      </c>
      <c r="J36" s="14">
        <v>1</v>
      </c>
      <c r="K36" s="14">
        <v>0</v>
      </c>
      <c r="L36" s="14">
        <v>10</v>
      </c>
      <c r="M36" s="14">
        <v>1</v>
      </c>
      <c r="N36" s="14">
        <v>1</v>
      </c>
      <c r="O36" s="14">
        <v>1</v>
      </c>
      <c r="P36" s="15">
        <v>1</v>
      </c>
      <c r="Q36" s="15">
        <f>Tabelle3[[#This Row],[variableID]]</f>
        <v>36</v>
      </c>
      <c r="R36" s="15">
        <v>1</v>
      </c>
      <c r="S36" s="15" t="s">
        <v>955</v>
      </c>
      <c r="T36" s="15">
        <v>0</v>
      </c>
      <c r="U36" s="21">
        <v>2</v>
      </c>
      <c r="V36" s="21">
        <f>Tabelle3[[#This Row],[variableID]]</f>
        <v>36</v>
      </c>
      <c r="W36" s="21">
        <v>1</v>
      </c>
      <c r="X36" s="21" t="s">
        <v>955</v>
      </c>
      <c r="Y36" s="21">
        <v>0</v>
      </c>
    </row>
    <row r="37" spans="1:25" x14ac:dyDescent="0.25">
      <c r="A37" s="19">
        <v>37</v>
      </c>
      <c r="B37" s="19" t="s">
        <v>534</v>
      </c>
      <c r="C37" s="19" t="s">
        <v>695</v>
      </c>
      <c r="D37" s="19" t="s">
        <v>695</v>
      </c>
      <c r="E37" s="19" t="s">
        <v>38</v>
      </c>
      <c r="F37" s="19" t="s">
        <v>38</v>
      </c>
      <c r="G37" s="19"/>
      <c r="H37" s="14">
        <f>Tabelle3[[#This Row],[variableID]]</f>
        <v>37</v>
      </c>
      <c r="I37" s="14">
        <v>0</v>
      </c>
      <c r="J37" s="14">
        <v>1</v>
      </c>
      <c r="K37" s="14">
        <v>0</v>
      </c>
      <c r="L37" s="14">
        <v>10</v>
      </c>
      <c r="M37" s="14">
        <v>1</v>
      </c>
      <c r="N37" s="14">
        <v>1</v>
      </c>
      <c r="O37" s="14">
        <v>1</v>
      </c>
      <c r="P37" s="15">
        <v>1</v>
      </c>
      <c r="Q37" s="15">
        <f>Tabelle3[[#This Row],[variableID]]</f>
        <v>37</v>
      </c>
      <c r="R37" s="15">
        <v>1</v>
      </c>
      <c r="S37" s="15" t="s">
        <v>955</v>
      </c>
      <c r="T37" s="15" t="s">
        <v>1553</v>
      </c>
      <c r="U37" s="21">
        <v>2</v>
      </c>
      <c r="V37" s="21">
        <f>Tabelle3[[#This Row],[variableID]]</f>
        <v>37</v>
      </c>
      <c r="W37" s="21">
        <v>1</v>
      </c>
      <c r="X37" s="21" t="s">
        <v>955</v>
      </c>
      <c r="Y37" s="21" t="s">
        <v>1553</v>
      </c>
    </row>
    <row r="38" spans="1:25" x14ac:dyDescent="0.25">
      <c r="A38" s="19">
        <v>38</v>
      </c>
      <c r="B38" s="19" t="s">
        <v>537</v>
      </c>
      <c r="C38" s="19" t="s">
        <v>1006</v>
      </c>
      <c r="D38" s="19" t="s">
        <v>1006</v>
      </c>
      <c r="E38" s="19" t="s">
        <v>38</v>
      </c>
      <c r="F38" s="19" t="s">
        <v>38</v>
      </c>
      <c r="G38" s="19"/>
      <c r="H38" s="14">
        <f>Tabelle3[[#This Row],[variableID]]</f>
        <v>38</v>
      </c>
      <c r="I38" s="14">
        <v>0</v>
      </c>
      <c r="J38" s="14">
        <v>1</v>
      </c>
      <c r="K38" s="14">
        <v>0</v>
      </c>
      <c r="L38" s="14">
        <v>10</v>
      </c>
      <c r="M38" s="14">
        <v>1</v>
      </c>
      <c r="N38" s="14">
        <v>1</v>
      </c>
      <c r="O38" s="14">
        <v>1</v>
      </c>
      <c r="P38" s="15">
        <v>1</v>
      </c>
      <c r="Q38" s="15">
        <f>Tabelle3[[#This Row],[variableID]]</f>
        <v>38</v>
      </c>
      <c r="R38" s="15">
        <v>1</v>
      </c>
      <c r="S38" s="15" t="s">
        <v>955</v>
      </c>
      <c r="T38" s="15" t="s">
        <v>1554</v>
      </c>
      <c r="U38" s="21">
        <v>2</v>
      </c>
      <c r="V38" s="21">
        <v>37</v>
      </c>
      <c r="W38" s="21">
        <v>1</v>
      </c>
      <c r="X38" s="21" t="s">
        <v>955</v>
      </c>
      <c r="Y38" s="21" t="s">
        <v>1554</v>
      </c>
    </row>
    <row r="39" spans="1:25" x14ac:dyDescent="0.25">
      <c r="A39" s="19">
        <v>39</v>
      </c>
      <c r="B39" s="19" t="s">
        <v>536</v>
      </c>
      <c r="C39" s="19" t="s">
        <v>1007</v>
      </c>
      <c r="D39" s="19" t="s">
        <v>1007</v>
      </c>
      <c r="E39" s="19" t="s">
        <v>38</v>
      </c>
      <c r="F39" s="19" t="s">
        <v>38</v>
      </c>
      <c r="G39" s="19"/>
      <c r="H39" s="14">
        <f>Tabelle3[[#This Row],[variableID]]</f>
        <v>39</v>
      </c>
      <c r="I39" s="14">
        <v>0</v>
      </c>
      <c r="J39" s="14">
        <v>1</v>
      </c>
      <c r="K39" s="14">
        <v>0</v>
      </c>
      <c r="L39" s="14">
        <v>10</v>
      </c>
      <c r="M39" s="14">
        <v>1</v>
      </c>
      <c r="N39" s="14">
        <v>1</v>
      </c>
      <c r="O39" s="14">
        <v>1</v>
      </c>
      <c r="P39" s="15">
        <v>1</v>
      </c>
      <c r="Q39" s="15">
        <f>Tabelle3[[#This Row],[variableID]]</f>
        <v>39</v>
      </c>
      <c r="R39" s="15">
        <v>1</v>
      </c>
      <c r="S39" s="15" t="s">
        <v>955</v>
      </c>
      <c r="T39" s="15" t="s">
        <v>1555</v>
      </c>
      <c r="U39" s="21">
        <v>2</v>
      </c>
      <c r="V39" s="21">
        <v>38</v>
      </c>
      <c r="W39" s="21">
        <v>1</v>
      </c>
      <c r="X39" s="21" t="s">
        <v>955</v>
      </c>
      <c r="Y39" s="21" t="s">
        <v>1555</v>
      </c>
    </row>
    <row r="40" spans="1:25" x14ac:dyDescent="0.25">
      <c r="A40" s="19">
        <v>40</v>
      </c>
      <c r="B40" s="19" t="s">
        <v>918</v>
      </c>
      <c r="C40" s="19" t="s">
        <v>919</v>
      </c>
      <c r="D40" s="19" t="s">
        <v>919</v>
      </c>
      <c r="E40" s="19" t="s">
        <v>21</v>
      </c>
      <c r="F40" s="19" t="s">
        <v>923</v>
      </c>
      <c r="G40" s="19" t="s">
        <v>956</v>
      </c>
      <c r="H40" s="14">
        <f>Tabelle3[[#This Row],[variableID]]</f>
        <v>40</v>
      </c>
      <c r="I40" s="14">
        <v>0</v>
      </c>
      <c r="J40" s="14">
        <v>1</v>
      </c>
      <c r="K40" s="14">
        <v>0</v>
      </c>
      <c r="L40" s="14">
        <v>10</v>
      </c>
      <c r="M40" s="14">
        <v>1</v>
      </c>
      <c r="N40" s="14">
        <v>1</v>
      </c>
      <c r="O40" s="14">
        <v>1</v>
      </c>
      <c r="P40" s="15">
        <v>1</v>
      </c>
      <c r="Q40" s="15">
        <f>Tabelle3[[#This Row],[variableID]]</f>
        <v>40</v>
      </c>
      <c r="R40" s="15">
        <v>1</v>
      </c>
      <c r="S40" s="15" t="s">
        <v>955</v>
      </c>
      <c r="T40" s="15" t="s">
        <v>1556</v>
      </c>
      <c r="U40" s="21">
        <v>2</v>
      </c>
      <c r="V40" s="21">
        <f>Tabelle3[[#This Row],[variableID]]</f>
        <v>40</v>
      </c>
      <c r="W40" s="21">
        <v>1</v>
      </c>
      <c r="X40" s="21" t="s">
        <v>955</v>
      </c>
      <c r="Y40" s="21" t="s">
        <v>1556</v>
      </c>
    </row>
    <row r="41" spans="1:25" x14ac:dyDescent="0.25">
      <c r="A41" s="19">
        <v>41</v>
      </c>
      <c r="B41" s="19" t="s">
        <v>920</v>
      </c>
      <c r="C41" s="19" t="s">
        <v>921</v>
      </c>
      <c r="D41" s="19" t="s">
        <v>921</v>
      </c>
      <c r="E41" s="19" t="s">
        <v>21</v>
      </c>
      <c r="F41" s="19" t="s">
        <v>923</v>
      </c>
      <c r="G41" s="19" t="s">
        <v>957</v>
      </c>
      <c r="H41" s="14">
        <f>Tabelle3[[#This Row],[variableID]]</f>
        <v>41</v>
      </c>
      <c r="I41" s="14">
        <v>0</v>
      </c>
      <c r="J41" s="14">
        <v>1</v>
      </c>
      <c r="K41" s="14">
        <v>0</v>
      </c>
      <c r="L41" s="14">
        <v>10</v>
      </c>
      <c r="M41" s="14">
        <v>1</v>
      </c>
      <c r="N41" s="14">
        <v>1</v>
      </c>
      <c r="O41" s="14">
        <v>1</v>
      </c>
      <c r="P41" s="15">
        <v>1</v>
      </c>
      <c r="Q41" s="15">
        <f>Tabelle3[[#This Row],[variableID]]</f>
        <v>41</v>
      </c>
      <c r="R41" s="15">
        <v>1</v>
      </c>
      <c r="S41" s="15" t="s">
        <v>955</v>
      </c>
      <c r="T41" s="15" t="s">
        <v>1557</v>
      </c>
      <c r="U41" s="21">
        <v>2</v>
      </c>
      <c r="V41" s="21">
        <f>Tabelle3[[#This Row],[variableID]]</f>
        <v>41</v>
      </c>
      <c r="W41" s="21">
        <v>1</v>
      </c>
      <c r="X41" s="21" t="s">
        <v>955</v>
      </c>
      <c r="Y41" s="21" t="s">
        <v>1557</v>
      </c>
    </row>
    <row r="42" spans="1:25" x14ac:dyDescent="0.25">
      <c r="A42" s="19">
        <v>42</v>
      </c>
      <c r="B42" s="19" t="s">
        <v>531</v>
      </c>
      <c r="C42" s="19" t="s">
        <v>958</v>
      </c>
      <c r="D42" s="19" t="s">
        <v>958</v>
      </c>
      <c r="E42" s="19" t="s">
        <v>61</v>
      </c>
      <c r="F42" s="19" t="s">
        <v>997</v>
      </c>
      <c r="G42" s="19"/>
      <c r="H42" s="14">
        <f>Tabelle3[[#This Row],[variableID]]</f>
        <v>42</v>
      </c>
      <c r="I42" s="14">
        <v>0</v>
      </c>
      <c r="J42" s="14">
        <v>1</v>
      </c>
      <c r="K42" s="14">
        <v>0</v>
      </c>
      <c r="L42" s="14">
        <v>10</v>
      </c>
      <c r="M42" s="14">
        <v>1</v>
      </c>
      <c r="N42" s="14">
        <v>1</v>
      </c>
      <c r="O42" s="14">
        <v>1</v>
      </c>
      <c r="P42" s="15">
        <v>1</v>
      </c>
      <c r="Q42" s="15">
        <f>Tabelle3[[#This Row],[variableID]]</f>
        <v>42</v>
      </c>
      <c r="R42" s="15">
        <v>0</v>
      </c>
      <c r="S42" s="15" t="s">
        <v>955</v>
      </c>
      <c r="T42" s="15" t="s">
        <v>1558</v>
      </c>
      <c r="U42" s="21">
        <v>2</v>
      </c>
      <c r="V42" s="21">
        <f>Tabelle3[[#This Row],[variableID]]</f>
        <v>42</v>
      </c>
      <c r="W42" s="21">
        <v>0</v>
      </c>
      <c r="X42" s="21" t="s">
        <v>955</v>
      </c>
      <c r="Y42" s="21" t="s">
        <v>1558</v>
      </c>
    </row>
    <row r="43" spans="1:25" x14ac:dyDescent="0.25">
      <c r="A43" s="19">
        <v>43</v>
      </c>
      <c r="B43" s="19" t="s">
        <v>963</v>
      </c>
      <c r="C43" s="19" t="s">
        <v>964</v>
      </c>
      <c r="D43" s="19" t="s">
        <v>964</v>
      </c>
      <c r="E43" s="19" t="s">
        <v>26</v>
      </c>
      <c r="F43" s="19" t="s">
        <v>26</v>
      </c>
      <c r="G43" s="19"/>
      <c r="H43" s="14">
        <f>Tabelle3[[#This Row],[variableID]]</f>
        <v>43</v>
      </c>
      <c r="I43" s="14">
        <v>0</v>
      </c>
      <c r="J43" s="14">
        <v>1</v>
      </c>
      <c r="K43" s="14">
        <v>3</v>
      </c>
      <c r="L43" s="14">
        <v>8</v>
      </c>
      <c r="M43" s="14">
        <v>1</v>
      </c>
      <c r="N43" s="14">
        <v>1</v>
      </c>
      <c r="O43" s="14">
        <v>1</v>
      </c>
      <c r="P43" s="15">
        <v>1</v>
      </c>
      <c r="Q43" s="15">
        <f>Tabelle3[[#This Row],[variableID]]</f>
        <v>43</v>
      </c>
      <c r="R43" s="15">
        <v>1</v>
      </c>
      <c r="S43" s="15" t="s">
        <v>955</v>
      </c>
      <c r="T43" s="15" t="s">
        <v>1542</v>
      </c>
      <c r="U43" s="21">
        <v>2</v>
      </c>
      <c r="V43" s="21">
        <f>Tabelle3[[#This Row],[variableID]]</f>
        <v>43</v>
      </c>
      <c r="W43" s="21">
        <v>1</v>
      </c>
      <c r="X43" s="21" t="s">
        <v>955</v>
      </c>
      <c r="Y43" s="21" t="s">
        <v>1542</v>
      </c>
    </row>
    <row r="44" spans="1:25" x14ac:dyDescent="0.25">
      <c r="A44" s="19">
        <v>44</v>
      </c>
      <c r="B44" s="19" t="s">
        <v>965</v>
      </c>
      <c r="C44" s="19" t="s">
        <v>966</v>
      </c>
      <c r="D44" s="19" t="s">
        <v>966</v>
      </c>
      <c r="E44" s="19" t="s">
        <v>29</v>
      </c>
      <c r="F44" s="19" t="s">
        <v>29</v>
      </c>
      <c r="G44" s="19"/>
      <c r="H44" s="14">
        <f>Tabelle3[[#This Row],[variableID]]</f>
        <v>44</v>
      </c>
      <c r="I44" s="14">
        <v>0</v>
      </c>
      <c r="J44" s="14">
        <v>1</v>
      </c>
      <c r="K44" s="14">
        <v>30</v>
      </c>
      <c r="L44" s="14">
        <v>40</v>
      </c>
      <c r="M44" s="14">
        <v>1</v>
      </c>
      <c r="N44" s="14">
        <v>1</v>
      </c>
      <c r="O44" s="14">
        <v>1</v>
      </c>
      <c r="P44" s="15">
        <v>1</v>
      </c>
      <c r="Q44" s="15">
        <f>Tabelle3[[#This Row],[variableID]]</f>
        <v>44</v>
      </c>
      <c r="R44" s="15">
        <v>1</v>
      </c>
      <c r="S44" s="15" t="s">
        <v>955</v>
      </c>
      <c r="T44" s="15" t="s">
        <v>1544</v>
      </c>
      <c r="U44" s="21">
        <v>2</v>
      </c>
      <c r="V44" s="21">
        <f>Tabelle3[[#This Row],[variableID]]</f>
        <v>44</v>
      </c>
      <c r="W44" s="21">
        <v>1</v>
      </c>
      <c r="X44" s="21" t="s">
        <v>955</v>
      </c>
      <c r="Y44" s="21" t="s">
        <v>1544</v>
      </c>
    </row>
    <row r="45" spans="1:25" x14ac:dyDescent="0.25">
      <c r="A45" s="19">
        <v>45</v>
      </c>
      <c r="B45" s="19" t="s">
        <v>967</v>
      </c>
      <c r="C45" s="19" t="s">
        <v>968</v>
      </c>
      <c r="D45" s="19" t="s">
        <v>968</v>
      </c>
      <c r="E45" s="19" t="s">
        <v>4</v>
      </c>
      <c r="F45" s="19" t="s">
        <v>4</v>
      </c>
      <c r="G45" s="19"/>
      <c r="H45" s="14">
        <f>Tabelle3[[#This Row],[variableID]]</f>
        <v>45</v>
      </c>
      <c r="I45" s="14">
        <v>0</v>
      </c>
      <c r="J45" s="14">
        <v>1</v>
      </c>
      <c r="K45" s="14">
        <v>0</v>
      </c>
      <c r="L45" s="14">
        <v>100</v>
      </c>
      <c r="M45" s="14">
        <v>1</v>
      </c>
      <c r="N45" s="14">
        <v>1</v>
      </c>
      <c r="O45" s="14">
        <v>1</v>
      </c>
      <c r="P45" s="15">
        <v>1</v>
      </c>
      <c r="Q45" s="15">
        <f>Tabelle3[[#This Row],[variableID]]</f>
        <v>45</v>
      </c>
      <c r="R45" s="15">
        <v>1</v>
      </c>
      <c r="S45" s="15" t="s">
        <v>955</v>
      </c>
      <c r="T45" s="15" t="s">
        <v>1536</v>
      </c>
      <c r="U45" s="21">
        <v>2</v>
      </c>
      <c r="V45" s="21">
        <f>Tabelle3[[#This Row],[variableID]]</f>
        <v>45</v>
      </c>
      <c r="W45" s="21">
        <v>1</v>
      </c>
      <c r="X45" s="21" t="s">
        <v>955</v>
      </c>
      <c r="Y45" s="21" t="s">
        <v>1536</v>
      </c>
    </row>
    <row r="46" spans="1:25" x14ac:dyDescent="0.25">
      <c r="A46" s="19">
        <v>46</v>
      </c>
      <c r="B46" s="19" t="s">
        <v>538</v>
      </c>
      <c r="C46" s="19" t="s">
        <v>538</v>
      </c>
      <c r="D46" s="19" t="s">
        <v>538</v>
      </c>
      <c r="E46" s="19" t="s">
        <v>4</v>
      </c>
      <c r="F46" s="19" t="s">
        <v>4</v>
      </c>
      <c r="G46" s="19"/>
      <c r="H46" s="14">
        <f>Tabelle3[[#This Row],[variableID]]</f>
        <v>46</v>
      </c>
      <c r="I46" s="14">
        <v>0</v>
      </c>
      <c r="J46" s="14">
        <v>1</v>
      </c>
      <c r="K46" s="14">
        <v>0</v>
      </c>
      <c r="L46" s="14">
        <v>10</v>
      </c>
      <c r="M46" s="14">
        <v>1</v>
      </c>
      <c r="N46" s="14">
        <v>1</v>
      </c>
      <c r="O46" s="14">
        <v>1</v>
      </c>
      <c r="P46" s="15">
        <v>1</v>
      </c>
      <c r="Q46" s="15">
        <f>Tabelle3[[#This Row],[variableID]]</f>
        <v>46</v>
      </c>
      <c r="R46" s="15">
        <v>0</v>
      </c>
      <c r="S46" s="15" t="s">
        <v>970</v>
      </c>
      <c r="T46" s="15">
        <v>0</v>
      </c>
      <c r="U46" s="21">
        <v>2</v>
      </c>
      <c r="V46" s="21">
        <f>Tabelle3[[#This Row],[variableID]]</f>
        <v>46</v>
      </c>
      <c r="W46" s="21">
        <v>0</v>
      </c>
      <c r="X46" s="21" t="s">
        <v>970</v>
      </c>
      <c r="Y46" s="21">
        <v>0</v>
      </c>
    </row>
    <row r="47" spans="1:25" x14ac:dyDescent="0.25">
      <c r="A47" s="19">
        <v>47</v>
      </c>
      <c r="B47" s="19" t="s">
        <v>533</v>
      </c>
      <c r="C47" s="19" t="s">
        <v>971</v>
      </c>
      <c r="D47" s="19" t="s">
        <v>971</v>
      </c>
      <c r="E47" s="19" t="s">
        <v>61</v>
      </c>
      <c r="F47" s="19" t="s">
        <v>997</v>
      </c>
      <c r="G47" s="19"/>
      <c r="H47" s="14">
        <f>Tabelle3[[#This Row],[variableID]]</f>
        <v>47</v>
      </c>
      <c r="I47" s="14">
        <v>0</v>
      </c>
      <c r="J47" s="14">
        <v>1</v>
      </c>
      <c r="K47" s="14">
        <v>0</v>
      </c>
      <c r="L47" s="14">
        <v>10</v>
      </c>
      <c r="M47" s="14">
        <v>1</v>
      </c>
      <c r="N47" s="14">
        <v>1</v>
      </c>
      <c r="O47" s="14">
        <v>1</v>
      </c>
      <c r="P47" s="15">
        <v>1</v>
      </c>
      <c r="Q47" s="15">
        <f>Tabelle3[[#This Row],[variableID]]</f>
        <v>47</v>
      </c>
      <c r="R47" s="15">
        <v>0</v>
      </c>
      <c r="S47" s="15" t="s">
        <v>970</v>
      </c>
      <c r="T47" s="15" t="s">
        <v>1559</v>
      </c>
      <c r="U47" s="21">
        <v>2</v>
      </c>
      <c r="V47" s="21">
        <f>Tabelle3[[#This Row],[variableID]]</f>
        <v>47</v>
      </c>
      <c r="W47" s="21">
        <v>0</v>
      </c>
      <c r="X47" s="21" t="s">
        <v>970</v>
      </c>
      <c r="Y47" s="21" t="s">
        <v>1559</v>
      </c>
    </row>
    <row r="48" spans="1:25" x14ac:dyDescent="0.25">
      <c r="A48" s="19">
        <v>48</v>
      </c>
      <c r="B48" s="19" t="s">
        <v>529</v>
      </c>
      <c r="C48" s="19" t="s">
        <v>972</v>
      </c>
      <c r="D48" s="19" t="s">
        <v>972</v>
      </c>
      <c r="E48" s="19" t="s">
        <v>61</v>
      </c>
      <c r="F48" s="19" t="s">
        <v>997</v>
      </c>
      <c r="G48" s="19"/>
      <c r="H48" s="14">
        <f>Tabelle3[[#This Row],[variableID]]</f>
        <v>48</v>
      </c>
      <c r="I48" s="14">
        <v>0</v>
      </c>
      <c r="J48" s="14">
        <v>1</v>
      </c>
      <c r="K48" s="14">
        <v>0</v>
      </c>
      <c r="L48" s="14">
        <v>10</v>
      </c>
      <c r="M48" s="14">
        <v>1</v>
      </c>
      <c r="N48" s="14">
        <v>1</v>
      </c>
      <c r="O48" s="14">
        <v>1</v>
      </c>
      <c r="P48" s="15">
        <v>1</v>
      </c>
      <c r="Q48" s="15">
        <f>Tabelle3[[#This Row],[variableID]]</f>
        <v>48</v>
      </c>
      <c r="R48" s="15">
        <v>0</v>
      </c>
      <c r="S48" s="15" t="s">
        <v>970</v>
      </c>
      <c r="T48" s="15" t="s">
        <v>1560</v>
      </c>
      <c r="U48" s="21">
        <v>2</v>
      </c>
      <c r="V48" s="21">
        <f>Tabelle3[[#This Row],[variableID]]</f>
        <v>48</v>
      </c>
      <c r="W48" s="21">
        <v>0</v>
      </c>
      <c r="X48" s="21" t="s">
        <v>970</v>
      </c>
      <c r="Y48" s="21" t="s">
        <v>1560</v>
      </c>
    </row>
    <row r="49" spans="1:25" x14ac:dyDescent="0.25">
      <c r="A49" s="19">
        <v>49</v>
      </c>
      <c r="B49" s="19" t="s">
        <v>530</v>
      </c>
      <c r="C49" s="19" t="s">
        <v>973</v>
      </c>
      <c r="D49" s="19" t="s">
        <v>973</v>
      </c>
      <c r="E49" s="19" t="s">
        <v>61</v>
      </c>
      <c r="F49" s="19" t="s">
        <v>997</v>
      </c>
      <c r="G49" s="19"/>
      <c r="H49" s="14">
        <f>Tabelle3[[#This Row],[variableID]]</f>
        <v>49</v>
      </c>
      <c r="I49" s="14">
        <v>0</v>
      </c>
      <c r="J49" s="14">
        <v>1</v>
      </c>
      <c r="K49" s="14">
        <v>0</v>
      </c>
      <c r="L49" s="14">
        <v>10</v>
      </c>
      <c r="M49" s="14">
        <v>1</v>
      </c>
      <c r="N49" s="14">
        <v>1</v>
      </c>
      <c r="O49" s="14">
        <v>1</v>
      </c>
      <c r="P49" s="15">
        <v>1</v>
      </c>
      <c r="Q49" s="15">
        <f>Tabelle3[[#This Row],[variableID]]</f>
        <v>49</v>
      </c>
      <c r="R49" s="15">
        <v>0</v>
      </c>
      <c r="S49" s="15" t="s">
        <v>970</v>
      </c>
      <c r="T49" s="15" t="s">
        <v>1561</v>
      </c>
      <c r="U49" s="21">
        <v>2</v>
      </c>
      <c r="V49" s="21">
        <f>Tabelle3[[#This Row],[variableID]]</f>
        <v>49</v>
      </c>
      <c r="W49" s="21">
        <v>0</v>
      </c>
      <c r="X49" s="21" t="s">
        <v>970</v>
      </c>
      <c r="Y49" s="21" t="s">
        <v>1561</v>
      </c>
    </row>
    <row r="50" spans="1:25" x14ac:dyDescent="0.25">
      <c r="A50" s="19">
        <v>50</v>
      </c>
      <c r="B50" s="19" t="s">
        <v>510</v>
      </c>
      <c r="C50" s="19" t="s">
        <v>510</v>
      </c>
      <c r="D50" s="19" t="s">
        <v>510</v>
      </c>
      <c r="E50" s="19" t="s">
        <v>26</v>
      </c>
      <c r="F50" s="19" t="s">
        <v>26</v>
      </c>
      <c r="G50" s="19"/>
      <c r="H50" s="14">
        <f>Tabelle3[[#This Row],[variableID]]</f>
        <v>50</v>
      </c>
      <c r="I50" s="14">
        <v>0</v>
      </c>
      <c r="J50" s="14">
        <v>1</v>
      </c>
      <c r="K50" s="14">
        <v>0</v>
      </c>
      <c r="L50" s="14">
        <v>10</v>
      </c>
      <c r="M50" s="14">
        <v>1</v>
      </c>
      <c r="N50" s="14">
        <v>1</v>
      </c>
      <c r="O50" s="14">
        <v>1</v>
      </c>
      <c r="P50" s="15">
        <v>1</v>
      </c>
      <c r="Q50" s="15">
        <f>Tabelle3[[#This Row],[variableID]]</f>
        <v>50</v>
      </c>
      <c r="R50" s="15">
        <v>0</v>
      </c>
      <c r="S50" s="15" t="s">
        <v>970</v>
      </c>
      <c r="T50" s="15" t="s">
        <v>1542</v>
      </c>
      <c r="U50" s="21">
        <v>2</v>
      </c>
      <c r="V50" s="21">
        <f>Tabelle3[[#This Row],[variableID]]</f>
        <v>50</v>
      </c>
      <c r="W50" s="21">
        <v>0</v>
      </c>
      <c r="X50" s="21" t="s">
        <v>970</v>
      </c>
      <c r="Y50" s="21" t="s">
        <v>1542</v>
      </c>
    </row>
    <row r="51" spans="1:25" x14ac:dyDescent="0.25">
      <c r="A51" s="19">
        <v>51</v>
      </c>
      <c r="B51" s="19" t="s">
        <v>540</v>
      </c>
      <c r="C51" s="19" t="s">
        <v>974</v>
      </c>
      <c r="D51" s="19" t="s">
        <v>974</v>
      </c>
      <c r="E51" s="19" t="s">
        <v>29</v>
      </c>
      <c r="F51" s="19" t="s">
        <v>29</v>
      </c>
      <c r="G51" s="19"/>
      <c r="H51" s="14">
        <f>Tabelle3[[#This Row],[variableID]]</f>
        <v>51</v>
      </c>
      <c r="I51" s="14">
        <v>0</v>
      </c>
      <c r="J51" s="14">
        <v>1</v>
      </c>
      <c r="K51" s="14">
        <v>0</v>
      </c>
      <c r="L51" s="14">
        <v>10</v>
      </c>
      <c r="M51" s="14">
        <v>1</v>
      </c>
      <c r="N51" s="14">
        <v>1</v>
      </c>
      <c r="O51" s="14">
        <v>1</v>
      </c>
      <c r="P51" s="15">
        <v>1</v>
      </c>
      <c r="Q51" s="15">
        <f>Tabelle3[[#This Row],[variableID]]</f>
        <v>51</v>
      </c>
      <c r="R51" s="15">
        <v>0</v>
      </c>
      <c r="S51" s="15" t="s">
        <v>970</v>
      </c>
      <c r="T51" s="15" t="s">
        <v>1562</v>
      </c>
      <c r="U51" s="21">
        <v>2</v>
      </c>
      <c r="V51" s="21">
        <f>Tabelle3[[#This Row],[variableID]]</f>
        <v>51</v>
      </c>
      <c r="W51" s="21">
        <v>0</v>
      </c>
      <c r="X51" s="21" t="s">
        <v>970</v>
      </c>
      <c r="Y51" s="21" t="s">
        <v>1562</v>
      </c>
    </row>
    <row r="52" spans="1:25" x14ac:dyDescent="0.25">
      <c r="A52" s="19">
        <v>52</v>
      </c>
      <c r="B52" s="19" t="s">
        <v>54</v>
      </c>
      <c r="C52" s="19" t="s">
        <v>600</v>
      </c>
      <c r="D52" s="19" t="s">
        <v>600</v>
      </c>
      <c r="E52" s="19" t="s">
        <v>26</v>
      </c>
      <c r="F52" s="19" t="s">
        <v>26</v>
      </c>
      <c r="G52" s="19"/>
      <c r="H52" s="14">
        <f>Tabelle3[[#This Row],[variableID]]</f>
        <v>52</v>
      </c>
      <c r="I52" s="14">
        <v>0</v>
      </c>
      <c r="J52" s="14">
        <v>1</v>
      </c>
      <c r="K52" s="14">
        <v>0</v>
      </c>
      <c r="L52" s="14">
        <v>1</v>
      </c>
      <c r="M52" s="14">
        <v>4</v>
      </c>
      <c r="N52" s="14">
        <v>3</v>
      </c>
      <c r="O52" s="14">
        <v>1</v>
      </c>
      <c r="P52" s="15">
        <v>1</v>
      </c>
      <c r="Q52" s="15">
        <f>Tabelle3[[#This Row],[variableID]]</f>
        <v>52</v>
      </c>
      <c r="R52" s="15">
        <v>0</v>
      </c>
      <c r="S52" s="15" t="s">
        <v>955</v>
      </c>
      <c r="T52" s="15" t="s">
        <v>1547</v>
      </c>
      <c r="U52" s="21">
        <v>2</v>
      </c>
      <c r="V52" s="21">
        <f>Tabelle3[[#This Row],[variableID]]</f>
        <v>52</v>
      </c>
      <c r="W52" s="21">
        <v>0</v>
      </c>
      <c r="X52" s="21" t="s">
        <v>955</v>
      </c>
      <c r="Y52" s="21" t="s">
        <v>1547</v>
      </c>
    </row>
    <row r="53" spans="1:25" x14ac:dyDescent="0.25">
      <c r="A53" s="19">
        <v>53</v>
      </c>
      <c r="B53" s="20" t="s">
        <v>1095</v>
      </c>
      <c r="C53" s="20" t="s">
        <v>1098</v>
      </c>
      <c r="D53" s="20" t="s">
        <v>1098</v>
      </c>
      <c r="E53" s="20" t="s">
        <v>38</v>
      </c>
      <c r="F53" s="19" t="s">
        <v>38</v>
      </c>
      <c r="G53" s="20"/>
      <c r="H53" s="14">
        <f>Tabelle3[[#This Row],[variableID]]</f>
        <v>53</v>
      </c>
      <c r="I53" s="14">
        <v>0</v>
      </c>
      <c r="J53" s="14">
        <v>1</v>
      </c>
      <c r="K53" s="14">
        <v>0</v>
      </c>
      <c r="L53" s="14">
        <v>1</v>
      </c>
      <c r="M53" s="14">
        <v>4</v>
      </c>
      <c r="N53" s="14">
        <v>3</v>
      </c>
      <c r="O53" s="14">
        <v>1</v>
      </c>
      <c r="P53" s="15">
        <v>1</v>
      </c>
      <c r="Q53" s="15">
        <f>Tabelle3[[#This Row],[variableID]]</f>
        <v>53</v>
      </c>
      <c r="R53" s="15">
        <v>0</v>
      </c>
      <c r="S53" s="15" t="s">
        <v>970</v>
      </c>
      <c r="T53" s="15" t="s">
        <v>1570</v>
      </c>
      <c r="U53" s="21">
        <v>2</v>
      </c>
      <c r="V53" s="21">
        <f>Tabelle3[[#This Row],[variableID]]</f>
        <v>53</v>
      </c>
      <c r="W53" s="21">
        <v>0</v>
      </c>
      <c r="X53" s="21" t="s">
        <v>970</v>
      </c>
      <c r="Y53" s="21" t="s">
        <v>1570</v>
      </c>
    </row>
    <row r="54" spans="1:25" x14ac:dyDescent="0.25">
      <c r="A54" s="19">
        <v>54</v>
      </c>
      <c r="B54" s="20" t="s">
        <v>1096</v>
      </c>
      <c r="C54" s="20" t="s">
        <v>1099</v>
      </c>
      <c r="D54" s="20" t="s">
        <v>1099</v>
      </c>
      <c r="E54" s="20" t="s">
        <v>38</v>
      </c>
      <c r="F54" s="19" t="s">
        <v>38</v>
      </c>
      <c r="G54" s="20"/>
      <c r="H54" s="14">
        <f>Tabelle3[[#This Row],[variableID]]</f>
        <v>54</v>
      </c>
      <c r="I54" s="14">
        <v>0</v>
      </c>
      <c r="J54" s="14">
        <v>1</v>
      </c>
      <c r="K54" s="14">
        <v>0</v>
      </c>
      <c r="L54" s="14">
        <v>1</v>
      </c>
      <c r="M54" s="14">
        <v>4</v>
      </c>
      <c r="N54" s="14">
        <v>3</v>
      </c>
      <c r="O54" s="14">
        <v>1</v>
      </c>
      <c r="P54" s="15">
        <v>1</v>
      </c>
      <c r="Q54" s="15">
        <f>Tabelle3[[#This Row],[variableID]]</f>
        <v>54</v>
      </c>
      <c r="R54" s="15">
        <v>0</v>
      </c>
      <c r="S54" s="15" t="s">
        <v>1463</v>
      </c>
      <c r="T54" s="15" t="s">
        <v>1571</v>
      </c>
      <c r="U54" s="21">
        <v>2</v>
      </c>
      <c r="V54" s="21">
        <f>Tabelle3[[#This Row],[variableID]]</f>
        <v>54</v>
      </c>
      <c r="W54" s="21">
        <v>0</v>
      </c>
      <c r="X54" s="21" t="s">
        <v>970</v>
      </c>
      <c r="Y54" s="21" t="s">
        <v>1571</v>
      </c>
    </row>
    <row r="55" spans="1:25" x14ac:dyDescent="0.25">
      <c r="A55" s="19">
        <v>55</v>
      </c>
      <c r="B55" s="19" t="s">
        <v>1097</v>
      </c>
      <c r="C55" s="19" t="s">
        <v>1100</v>
      </c>
      <c r="D55" s="19" t="s">
        <v>1100</v>
      </c>
      <c r="E55" s="19" t="s">
        <v>38</v>
      </c>
      <c r="F55" s="19" t="s">
        <v>38</v>
      </c>
      <c r="G55" s="19"/>
      <c r="H55" s="14">
        <f>Tabelle3[[#This Row],[variableID]]</f>
        <v>55</v>
      </c>
      <c r="I55" s="14">
        <v>0</v>
      </c>
      <c r="J55" s="14">
        <v>1</v>
      </c>
      <c r="K55" s="14">
        <v>0</v>
      </c>
      <c r="L55" s="14">
        <v>1</v>
      </c>
      <c r="M55" s="14">
        <v>4</v>
      </c>
      <c r="N55" s="14">
        <v>3</v>
      </c>
      <c r="O55" s="14">
        <v>1</v>
      </c>
      <c r="P55" s="15">
        <v>1</v>
      </c>
      <c r="Q55" s="15">
        <f>Tabelle3[[#This Row],[variableID]]</f>
        <v>55</v>
      </c>
      <c r="R55" s="15">
        <v>0</v>
      </c>
      <c r="S55" s="15" t="s">
        <v>1463</v>
      </c>
      <c r="T55" s="15" t="s">
        <v>1572</v>
      </c>
      <c r="U55" s="21">
        <v>2</v>
      </c>
      <c r="V55" s="21">
        <f>Tabelle3[[#This Row],[variableID]]</f>
        <v>55</v>
      </c>
      <c r="W55" s="21">
        <v>0</v>
      </c>
      <c r="X55" s="21" t="s">
        <v>1463</v>
      </c>
      <c r="Y55" s="21" t="s">
        <v>1572</v>
      </c>
    </row>
    <row r="56" spans="1:25" x14ac:dyDescent="0.25">
      <c r="A56" s="19">
        <v>56</v>
      </c>
      <c r="B56" s="19" t="s">
        <v>1181</v>
      </c>
      <c r="C56" s="19" t="s">
        <v>1182</v>
      </c>
      <c r="D56" s="19" t="s">
        <v>1182</v>
      </c>
      <c r="E56" s="19" t="s">
        <v>21</v>
      </c>
      <c r="F56" s="19" t="s">
        <v>923</v>
      </c>
      <c r="G56" s="19"/>
      <c r="H56" s="14">
        <f>Tabelle3[[#This Row],[variableID]]</f>
        <v>56</v>
      </c>
      <c r="I56" s="14">
        <v>0</v>
      </c>
      <c r="J56" s="14">
        <v>1</v>
      </c>
      <c r="K56" s="14">
        <v>0</v>
      </c>
      <c r="L56" s="14">
        <v>10</v>
      </c>
      <c r="M56" s="14">
        <v>2</v>
      </c>
      <c r="N56" s="14">
        <v>5</v>
      </c>
      <c r="O56" s="14">
        <v>1</v>
      </c>
      <c r="P56" s="15">
        <v>1</v>
      </c>
      <c r="Q56" s="15">
        <f>Tabelle3[[#This Row],[variableID]]</f>
        <v>56</v>
      </c>
      <c r="R56" s="15">
        <v>1</v>
      </c>
      <c r="S56" s="15" t="s">
        <v>955</v>
      </c>
      <c r="T56" s="15" t="s">
        <v>1563</v>
      </c>
      <c r="U56" s="21">
        <v>2</v>
      </c>
      <c r="V56" s="21">
        <f>Tabelle3[[#This Row],[variableID]]</f>
        <v>56</v>
      </c>
      <c r="W56" s="21">
        <v>1</v>
      </c>
      <c r="X56" s="21" t="s">
        <v>955</v>
      </c>
      <c r="Y56" s="21" t="s">
        <v>1563</v>
      </c>
    </row>
    <row r="57" spans="1:25" x14ac:dyDescent="0.25">
      <c r="A57" s="19">
        <v>57</v>
      </c>
      <c r="B57" s="19" t="s">
        <v>1180</v>
      </c>
      <c r="C57" s="19" t="s">
        <v>1183</v>
      </c>
      <c r="D57" s="19" t="s">
        <v>1183</v>
      </c>
      <c r="E57" s="19" t="s">
        <v>21</v>
      </c>
      <c r="F57" s="19" t="s">
        <v>923</v>
      </c>
      <c r="G57" s="19"/>
      <c r="H57" s="14">
        <f>Tabelle3[[#This Row],[variableID]]</f>
        <v>57</v>
      </c>
      <c r="I57" s="14">
        <v>0</v>
      </c>
      <c r="J57" s="14">
        <v>1</v>
      </c>
      <c r="K57" s="14">
        <v>0</v>
      </c>
      <c r="L57" s="14">
        <v>10</v>
      </c>
      <c r="M57" s="14">
        <v>2</v>
      </c>
      <c r="N57" s="14">
        <v>6</v>
      </c>
      <c r="O57" s="14">
        <v>1</v>
      </c>
      <c r="P57" s="15">
        <v>1</v>
      </c>
      <c r="Q57" s="15">
        <f>Tabelle3[[#This Row],[variableID]]</f>
        <v>57</v>
      </c>
      <c r="R57" s="15">
        <v>0</v>
      </c>
      <c r="S57" s="15" t="s">
        <v>1463</v>
      </c>
      <c r="T57" s="15" t="s">
        <v>1564</v>
      </c>
      <c r="U57" s="21">
        <v>2</v>
      </c>
      <c r="V57" s="21">
        <f>Tabelle3[[#This Row],[variableID]]</f>
        <v>57</v>
      </c>
      <c r="W57" s="21">
        <v>1</v>
      </c>
      <c r="X57" s="21" t="s">
        <v>955</v>
      </c>
      <c r="Y57" s="21" t="s">
        <v>1564</v>
      </c>
    </row>
    <row r="58" spans="1:25" x14ac:dyDescent="0.25">
      <c r="A58" s="19">
        <v>58</v>
      </c>
      <c r="B58" s="19" t="s">
        <v>1179</v>
      </c>
      <c r="C58" s="19" t="s">
        <v>1184</v>
      </c>
      <c r="D58" s="19" t="s">
        <v>1184</v>
      </c>
      <c r="E58" s="19" t="s">
        <v>21</v>
      </c>
      <c r="F58" s="19" t="s">
        <v>923</v>
      </c>
      <c r="G58" s="19"/>
      <c r="H58" s="14">
        <f>Tabelle3[[#This Row],[variableID]]</f>
        <v>58</v>
      </c>
      <c r="I58" s="14">
        <v>0</v>
      </c>
      <c r="J58" s="14">
        <v>1</v>
      </c>
      <c r="K58" s="14">
        <v>0</v>
      </c>
      <c r="L58" s="14">
        <v>10</v>
      </c>
      <c r="M58" s="14">
        <v>2</v>
      </c>
      <c r="N58" s="14">
        <v>7</v>
      </c>
      <c r="O58" s="14">
        <v>1</v>
      </c>
      <c r="P58" s="15">
        <v>1</v>
      </c>
      <c r="Q58" s="15">
        <f>Tabelle3[[#This Row],[variableID]]</f>
        <v>58</v>
      </c>
      <c r="R58" s="15">
        <v>0</v>
      </c>
      <c r="S58" s="15" t="s">
        <v>1463</v>
      </c>
      <c r="T58" s="15" t="s">
        <v>1565</v>
      </c>
      <c r="U58" s="21">
        <v>2</v>
      </c>
      <c r="V58" s="21">
        <f>Tabelle3[[#This Row],[variableID]]</f>
        <v>58</v>
      </c>
      <c r="W58" s="21">
        <v>0</v>
      </c>
      <c r="X58" s="21" t="s">
        <v>1463</v>
      </c>
      <c r="Y58" s="21" t="s">
        <v>1565</v>
      </c>
    </row>
    <row r="59" spans="1:25" x14ac:dyDescent="0.25">
      <c r="A59" s="19">
        <v>59</v>
      </c>
      <c r="B59" s="19" t="s">
        <v>1060</v>
      </c>
      <c r="C59" s="20" t="s">
        <v>1074</v>
      </c>
      <c r="D59" s="20" t="s">
        <v>1074</v>
      </c>
      <c r="E59" s="20" t="s">
        <v>21</v>
      </c>
      <c r="F59" s="19" t="s">
        <v>923</v>
      </c>
      <c r="G59" s="19"/>
      <c r="H59" s="14">
        <f>Tabelle3[[#This Row],[variableID]]</f>
        <v>59</v>
      </c>
      <c r="I59" s="14">
        <v>0</v>
      </c>
      <c r="J59" s="14">
        <v>1</v>
      </c>
      <c r="K59" s="14">
        <v>0</v>
      </c>
      <c r="L59" s="14">
        <v>1</v>
      </c>
      <c r="M59" s="14">
        <v>4</v>
      </c>
      <c r="N59" s="14">
        <v>3</v>
      </c>
      <c r="O59" s="14">
        <v>1</v>
      </c>
      <c r="P59" s="15">
        <v>1</v>
      </c>
      <c r="Q59" s="15">
        <f>Tabelle3[[#This Row],[variableID]]</f>
        <v>59</v>
      </c>
      <c r="R59" s="15">
        <v>1</v>
      </c>
      <c r="S59" s="15" t="s">
        <v>970</v>
      </c>
      <c r="T59" s="15">
        <v>0</v>
      </c>
      <c r="U59" s="21">
        <v>2</v>
      </c>
      <c r="V59" s="21">
        <f>Tabelle3[[#This Row],[variableID]]</f>
        <v>59</v>
      </c>
      <c r="W59" s="21">
        <v>1</v>
      </c>
      <c r="X59" s="21" t="s">
        <v>970</v>
      </c>
      <c r="Y59" s="22">
        <v>0</v>
      </c>
    </row>
    <row r="60" spans="1:25" x14ac:dyDescent="0.25">
      <c r="A60" s="19">
        <v>60</v>
      </c>
      <c r="B60" s="19" t="s">
        <v>1061</v>
      </c>
      <c r="C60" s="20" t="s">
        <v>1075</v>
      </c>
      <c r="D60" s="20" t="s">
        <v>1075</v>
      </c>
      <c r="E60" s="20" t="s">
        <v>21</v>
      </c>
      <c r="F60" s="19" t="s">
        <v>923</v>
      </c>
      <c r="G60" s="19"/>
      <c r="H60" s="14">
        <f>Tabelle3[[#This Row],[variableID]]</f>
        <v>60</v>
      </c>
      <c r="I60" s="14">
        <v>0</v>
      </c>
      <c r="J60" s="14">
        <v>1</v>
      </c>
      <c r="K60" s="14">
        <v>0</v>
      </c>
      <c r="L60" s="14">
        <v>1</v>
      </c>
      <c r="M60" s="14">
        <v>4</v>
      </c>
      <c r="N60" s="14">
        <v>3</v>
      </c>
      <c r="O60" s="14">
        <v>1</v>
      </c>
      <c r="P60" s="15">
        <v>1</v>
      </c>
      <c r="Q60" s="15">
        <f>Tabelle3[[#This Row],[variableID]]</f>
        <v>60</v>
      </c>
      <c r="R60" s="15">
        <v>0</v>
      </c>
      <c r="S60" s="15" t="s">
        <v>970</v>
      </c>
      <c r="T60" s="15">
        <v>0</v>
      </c>
      <c r="U60" s="21">
        <v>2</v>
      </c>
      <c r="V60" s="21">
        <f>Tabelle3[[#This Row],[variableID]]</f>
        <v>60</v>
      </c>
      <c r="W60" s="21">
        <v>1</v>
      </c>
      <c r="X60" s="21" t="s">
        <v>970</v>
      </c>
      <c r="Y60" s="22">
        <v>0</v>
      </c>
    </row>
    <row r="61" spans="1:25" x14ac:dyDescent="0.25">
      <c r="A61" s="19">
        <v>61</v>
      </c>
      <c r="B61" s="19" t="s">
        <v>1062</v>
      </c>
      <c r="C61" s="19" t="s">
        <v>1076</v>
      </c>
      <c r="D61" s="19" t="s">
        <v>1076</v>
      </c>
      <c r="E61" s="19" t="s">
        <v>21</v>
      </c>
      <c r="F61" s="19" t="s">
        <v>923</v>
      </c>
      <c r="G61" s="19"/>
      <c r="H61" s="14">
        <f>Tabelle3[[#This Row],[variableID]]</f>
        <v>61</v>
      </c>
      <c r="I61" s="14">
        <v>0</v>
      </c>
      <c r="J61" s="14">
        <v>1</v>
      </c>
      <c r="K61" s="14">
        <v>0</v>
      </c>
      <c r="L61" s="14">
        <v>1</v>
      </c>
      <c r="M61" s="14">
        <v>4</v>
      </c>
      <c r="N61" s="14">
        <v>3</v>
      </c>
      <c r="O61" s="14">
        <v>1</v>
      </c>
      <c r="P61" s="15">
        <v>1</v>
      </c>
      <c r="Q61" s="15">
        <f>Tabelle3[[#This Row],[variableID]]</f>
        <v>61</v>
      </c>
      <c r="R61" s="15">
        <v>0</v>
      </c>
      <c r="S61" s="15" t="s">
        <v>970</v>
      </c>
      <c r="T61" s="15">
        <v>0</v>
      </c>
      <c r="U61" s="21">
        <v>2</v>
      </c>
      <c r="V61" s="21">
        <f>Tabelle3[[#This Row],[variableID]]</f>
        <v>61</v>
      </c>
      <c r="W61" s="21">
        <v>0</v>
      </c>
      <c r="X61" s="21" t="s">
        <v>1463</v>
      </c>
      <c r="Y61" s="21">
        <v>0</v>
      </c>
    </row>
    <row r="62" spans="1:25" x14ac:dyDescent="0.25">
      <c r="A62" s="19">
        <v>62</v>
      </c>
      <c r="B62" s="19" t="s">
        <v>1139</v>
      </c>
      <c r="C62" s="19" t="s">
        <v>1139</v>
      </c>
      <c r="D62" s="19" t="s">
        <v>1139</v>
      </c>
      <c r="E62" s="19" t="s">
        <v>35</v>
      </c>
      <c r="F62" s="19" t="s">
        <v>35</v>
      </c>
      <c r="G62" s="19"/>
      <c r="H62" s="14">
        <f>Tabelle3[[#This Row],[variableID]]</f>
        <v>62</v>
      </c>
      <c r="I62" s="14">
        <v>0</v>
      </c>
      <c r="J62" s="14">
        <v>1</v>
      </c>
      <c r="K62" s="14">
        <v>0</v>
      </c>
      <c r="L62" s="14">
        <v>1</v>
      </c>
      <c r="M62" s="14">
        <v>4</v>
      </c>
      <c r="N62" s="14">
        <v>3</v>
      </c>
      <c r="O62" s="14">
        <v>1</v>
      </c>
      <c r="P62" s="15">
        <v>1</v>
      </c>
      <c r="Q62" s="15">
        <f>Tabelle3[[#This Row],[variableID]]</f>
        <v>62</v>
      </c>
      <c r="R62" s="15">
        <v>0</v>
      </c>
      <c r="S62" s="15" t="s">
        <v>1463</v>
      </c>
      <c r="T62" s="15">
        <v>0</v>
      </c>
      <c r="U62" s="21">
        <v>2</v>
      </c>
      <c r="V62" s="21">
        <f>Tabelle3[[#This Row],[variableID]]</f>
        <v>62</v>
      </c>
      <c r="W62" s="21">
        <v>0</v>
      </c>
      <c r="X62" s="21" t="s">
        <v>1463</v>
      </c>
      <c r="Y62" s="21">
        <v>0</v>
      </c>
    </row>
    <row r="63" spans="1:25" x14ac:dyDescent="0.25">
      <c r="A63" s="19">
        <v>63</v>
      </c>
      <c r="B63" s="19" t="s">
        <v>1241</v>
      </c>
      <c r="C63" s="19" t="s">
        <v>1244</v>
      </c>
      <c r="D63" s="19" t="s">
        <v>1244</v>
      </c>
      <c r="E63" s="19" t="s">
        <v>38</v>
      </c>
      <c r="F63" s="19" t="s">
        <v>38</v>
      </c>
      <c r="G63" s="19"/>
      <c r="H63" s="14">
        <f>Tabelle3[[#This Row],[variableID]]</f>
        <v>63</v>
      </c>
      <c r="I63" s="14">
        <v>0</v>
      </c>
      <c r="J63" s="14">
        <v>1</v>
      </c>
      <c r="K63" s="14">
        <v>0</v>
      </c>
      <c r="L63" s="14">
        <v>10</v>
      </c>
      <c r="M63" s="14">
        <v>3</v>
      </c>
      <c r="N63" s="14">
        <v>6</v>
      </c>
      <c r="O63" s="14">
        <v>1</v>
      </c>
      <c r="P63" s="15">
        <v>1</v>
      </c>
      <c r="Q63" s="15">
        <f>Tabelle3[[#This Row],[variableID]]</f>
        <v>63</v>
      </c>
      <c r="R63" s="15">
        <v>0</v>
      </c>
      <c r="S63" s="15" t="s">
        <v>955</v>
      </c>
      <c r="T63" s="15">
        <v>0</v>
      </c>
      <c r="U63" s="21">
        <v>2</v>
      </c>
      <c r="V63" s="21">
        <f>Tabelle3[[#This Row],[variableID]]</f>
        <v>63</v>
      </c>
      <c r="W63" s="21">
        <v>0</v>
      </c>
      <c r="X63" s="21" t="s">
        <v>955</v>
      </c>
      <c r="Y63" s="21">
        <v>0</v>
      </c>
    </row>
    <row r="64" spans="1:25" x14ac:dyDescent="0.25">
      <c r="A64" s="19">
        <v>64</v>
      </c>
      <c r="B64" s="19" t="s">
        <v>1242</v>
      </c>
      <c r="C64" s="19" t="s">
        <v>1245</v>
      </c>
      <c r="D64" s="19" t="s">
        <v>1245</v>
      </c>
      <c r="E64" s="19" t="s">
        <v>38</v>
      </c>
      <c r="F64" s="19" t="s">
        <v>38</v>
      </c>
      <c r="G64" s="19"/>
      <c r="H64" s="14">
        <f>Tabelle3[[#This Row],[variableID]]</f>
        <v>64</v>
      </c>
      <c r="I64" s="14">
        <v>0</v>
      </c>
      <c r="J64" s="14">
        <v>1</v>
      </c>
      <c r="K64" s="14">
        <v>0</v>
      </c>
      <c r="L64" s="14">
        <v>10</v>
      </c>
      <c r="M64" s="14">
        <v>3</v>
      </c>
      <c r="N64" s="14">
        <v>6</v>
      </c>
      <c r="O64" s="14">
        <v>1</v>
      </c>
      <c r="P64" s="15">
        <v>1</v>
      </c>
      <c r="Q64" s="15">
        <f>Tabelle3[[#This Row],[variableID]]</f>
        <v>64</v>
      </c>
      <c r="R64" s="15">
        <v>0</v>
      </c>
      <c r="S64" s="15" t="s">
        <v>1463</v>
      </c>
      <c r="T64" s="15">
        <v>0</v>
      </c>
      <c r="U64" s="21">
        <v>2</v>
      </c>
      <c r="V64" s="21">
        <f>Tabelle3[[#This Row],[variableID]]</f>
        <v>64</v>
      </c>
      <c r="W64" s="21">
        <v>0</v>
      </c>
      <c r="X64" s="21" t="s">
        <v>955</v>
      </c>
      <c r="Y64" s="21">
        <v>0</v>
      </c>
    </row>
    <row r="65" spans="1:25" x14ac:dyDescent="0.25">
      <c r="A65" s="19">
        <v>65</v>
      </c>
      <c r="B65" s="19" t="s">
        <v>1243</v>
      </c>
      <c r="C65" s="19" t="s">
        <v>1246</v>
      </c>
      <c r="D65" s="19" t="s">
        <v>1246</v>
      </c>
      <c r="E65" s="19" t="s">
        <v>38</v>
      </c>
      <c r="F65" s="19" t="s">
        <v>38</v>
      </c>
      <c r="G65" s="19"/>
      <c r="H65" s="14">
        <f>Tabelle3[[#This Row],[variableID]]</f>
        <v>65</v>
      </c>
      <c r="I65" s="14">
        <v>0</v>
      </c>
      <c r="J65" s="14">
        <v>1</v>
      </c>
      <c r="K65" s="14">
        <v>0</v>
      </c>
      <c r="L65" s="14">
        <v>10</v>
      </c>
      <c r="M65" s="14">
        <v>3</v>
      </c>
      <c r="N65" s="14">
        <v>6</v>
      </c>
      <c r="O65" s="14">
        <v>1</v>
      </c>
      <c r="P65" s="15">
        <v>1</v>
      </c>
      <c r="Q65" s="15">
        <f>Tabelle3[[#This Row],[variableID]]</f>
        <v>65</v>
      </c>
      <c r="R65" s="15">
        <v>0</v>
      </c>
      <c r="S65" s="15" t="s">
        <v>1463</v>
      </c>
      <c r="T65" s="15">
        <v>0</v>
      </c>
      <c r="U65" s="21">
        <v>2</v>
      </c>
      <c r="V65" s="21">
        <f>Tabelle3[[#This Row],[variableID]]</f>
        <v>65</v>
      </c>
      <c r="W65" s="21">
        <v>0</v>
      </c>
      <c r="X65" s="21" t="s">
        <v>1463</v>
      </c>
      <c r="Y65" s="21">
        <v>0</v>
      </c>
    </row>
    <row r="66" spans="1:25" x14ac:dyDescent="0.25">
      <c r="A66" s="19">
        <v>66</v>
      </c>
      <c r="B66" s="19" t="s">
        <v>1332</v>
      </c>
      <c r="C66" s="19" t="s">
        <v>1333</v>
      </c>
      <c r="D66" s="19" t="s">
        <v>1333</v>
      </c>
      <c r="E66" s="19" t="s">
        <v>326</v>
      </c>
      <c r="F66" s="19" t="s">
        <v>924</v>
      </c>
      <c r="G66" s="19" t="s">
        <v>1299</v>
      </c>
      <c r="H66" s="14">
        <f>Tabelle3[[#This Row],[variableID]]</f>
        <v>66</v>
      </c>
      <c r="I66" s="14">
        <v>0</v>
      </c>
      <c r="J66" s="14">
        <v>1</v>
      </c>
      <c r="K66" s="14">
        <v>0</v>
      </c>
      <c r="L66" s="14">
        <v>10</v>
      </c>
      <c r="M66" s="14">
        <v>3</v>
      </c>
      <c r="N66" s="14">
        <v>13</v>
      </c>
      <c r="O66" s="14">
        <v>1</v>
      </c>
      <c r="P66" s="15">
        <v>1</v>
      </c>
      <c r="Q66" s="15">
        <f>Tabelle3[[#This Row],[variableID]]</f>
        <v>66</v>
      </c>
      <c r="R66" s="15">
        <v>0</v>
      </c>
      <c r="S66" s="15" t="s">
        <v>1463</v>
      </c>
      <c r="T66" s="15">
        <v>0</v>
      </c>
      <c r="U66" s="21">
        <v>2</v>
      </c>
      <c r="V66" s="21">
        <f>Tabelle3[[#This Row],[variableID]]</f>
        <v>66</v>
      </c>
      <c r="W66" s="21">
        <v>0</v>
      </c>
      <c r="X66" s="21" t="s">
        <v>970</v>
      </c>
      <c r="Y66" s="21">
        <v>0</v>
      </c>
    </row>
    <row r="67" spans="1:25" x14ac:dyDescent="0.25">
      <c r="A67" s="19">
        <v>67</v>
      </c>
      <c r="B67" s="19" t="s">
        <v>1235</v>
      </c>
      <c r="C67" s="19" t="s">
        <v>1269</v>
      </c>
      <c r="D67" s="19" t="s">
        <v>1269</v>
      </c>
      <c r="E67" s="19" t="s">
        <v>326</v>
      </c>
      <c r="F67" s="19" t="s">
        <v>924</v>
      </c>
      <c r="G67" s="19" t="s">
        <v>1299</v>
      </c>
      <c r="H67" s="14">
        <f>Tabelle3[[#This Row],[variableID]]</f>
        <v>67</v>
      </c>
      <c r="I67" s="14">
        <v>0</v>
      </c>
      <c r="J67" s="14">
        <v>1</v>
      </c>
      <c r="K67" s="14">
        <v>0</v>
      </c>
      <c r="L67" s="14">
        <v>10</v>
      </c>
      <c r="M67" s="14">
        <v>3</v>
      </c>
      <c r="N67" s="14">
        <v>3</v>
      </c>
      <c r="O67" s="14">
        <v>1</v>
      </c>
      <c r="P67" s="15">
        <v>1</v>
      </c>
      <c r="Q67" s="15">
        <f>Tabelle3[[#This Row],[variableID]]</f>
        <v>67</v>
      </c>
      <c r="R67" s="15">
        <v>0</v>
      </c>
      <c r="S67" s="15" t="s">
        <v>1463</v>
      </c>
      <c r="T67" s="15">
        <v>0</v>
      </c>
      <c r="U67" s="21">
        <v>2</v>
      </c>
      <c r="V67" s="21">
        <f>Tabelle3[[#This Row],[variableID]]</f>
        <v>67</v>
      </c>
      <c r="W67" s="21">
        <v>0</v>
      </c>
      <c r="X67" s="21" t="s">
        <v>970</v>
      </c>
      <c r="Y67" s="21">
        <v>0</v>
      </c>
    </row>
    <row r="68" spans="1:25" x14ac:dyDescent="0.25">
      <c r="A68" s="19">
        <v>68</v>
      </c>
      <c r="B68" s="19" t="s">
        <v>1237</v>
      </c>
      <c r="C68" s="19" t="s">
        <v>1270</v>
      </c>
      <c r="D68" s="19" t="s">
        <v>1270</v>
      </c>
      <c r="E68" s="19" t="s">
        <v>326</v>
      </c>
      <c r="F68" s="19" t="s">
        <v>924</v>
      </c>
      <c r="G68" s="19" t="s">
        <v>1299</v>
      </c>
      <c r="H68" s="14">
        <f>Tabelle3[[#This Row],[variableID]]</f>
        <v>68</v>
      </c>
      <c r="I68" s="14">
        <v>0</v>
      </c>
      <c r="J68" s="14">
        <v>1</v>
      </c>
      <c r="K68" s="14">
        <v>0</v>
      </c>
      <c r="L68" s="14">
        <v>10</v>
      </c>
      <c r="M68" s="14">
        <v>3</v>
      </c>
      <c r="N68" s="14">
        <v>7</v>
      </c>
      <c r="O68" s="14">
        <v>1</v>
      </c>
      <c r="P68" s="15">
        <v>1</v>
      </c>
      <c r="Q68" s="15">
        <f>Tabelle3[[#This Row],[variableID]]</f>
        <v>68</v>
      </c>
      <c r="R68" s="15">
        <v>0</v>
      </c>
      <c r="S68" s="15" t="s">
        <v>1463</v>
      </c>
      <c r="T68" s="15">
        <v>0</v>
      </c>
      <c r="U68" s="21">
        <v>2</v>
      </c>
      <c r="V68" s="21">
        <f>Tabelle3[[#This Row],[variableID]]</f>
        <v>68</v>
      </c>
      <c r="W68" s="21">
        <v>0</v>
      </c>
      <c r="X68" s="21" t="s">
        <v>970</v>
      </c>
      <c r="Y68" s="21">
        <v>0</v>
      </c>
    </row>
    <row r="69" spans="1:25" x14ac:dyDescent="0.25">
      <c r="A69" s="19">
        <v>69</v>
      </c>
      <c r="B69" s="19" t="s">
        <v>1251</v>
      </c>
      <c r="C69" s="19" t="s">
        <v>1271</v>
      </c>
      <c r="D69" s="19" t="s">
        <v>1271</v>
      </c>
      <c r="E69" s="19" t="s">
        <v>326</v>
      </c>
      <c r="F69" s="19" t="s">
        <v>924</v>
      </c>
      <c r="G69" s="19" t="s">
        <v>1299</v>
      </c>
      <c r="H69" s="14">
        <f>Tabelle3[[#This Row],[variableID]]</f>
        <v>69</v>
      </c>
      <c r="I69" s="14">
        <v>0</v>
      </c>
      <c r="J69" s="14">
        <v>1</v>
      </c>
      <c r="K69" s="14">
        <v>0</v>
      </c>
      <c r="L69" s="14">
        <v>10</v>
      </c>
      <c r="M69" s="14">
        <v>3</v>
      </c>
      <c r="N69" s="14">
        <v>2</v>
      </c>
      <c r="O69" s="14">
        <v>1</v>
      </c>
      <c r="P69" s="15">
        <v>1</v>
      </c>
      <c r="Q69" s="15">
        <f>Tabelle3[[#This Row],[variableID]]</f>
        <v>69</v>
      </c>
      <c r="R69" s="15">
        <v>0</v>
      </c>
      <c r="S69" s="15" t="s">
        <v>1463</v>
      </c>
      <c r="T69" s="15">
        <v>0</v>
      </c>
      <c r="U69" s="21">
        <v>2</v>
      </c>
      <c r="V69" s="21">
        <f>Tabelle3[[#This Row],[variableID]]</f>
        <v>69</v>
      </c>
      <c r="W69" s="21">
        <v>0</v>
      </c>
      <c r="X69" s="21" t="s">
        <v>970</v>
      </c>
      <c r="Y69" s="21">
        <v>0</v>
      </c>
    </row>
    <row r="70" spans="1:25" x14ac:dyDescent="0.25">
      <c r="A70" s="19">
        <v>70</v>
      </c>
      <c r="B70" s="19" t="s">
        <v>1289</v>
      </c>
      <c r="C70" s="19" t="s">
        <v>1294</v>
      </c>
      <c r="D70" s="19" t="s">
        <v>1294</v>
      </c>
      <c r="E70" s="19" t="s">
        <v>326</v>
      </c>
      <c r="F70" s="19" t="s">
        <v>924</v>
      </c>
      <c r="G70" s="19" t="s">
        <v>1299</v>
      </c>
      <c r="H70" s="14">
        <f>Tabelle3[[#This Row],[variableID]]</f>
        <v>70</v>
      </c>
      <c r="I70" s="14">
        <v>0</v>
      </c>
      <c r="J70" s="14">
        <v>1</v>
      </c>
      <c r="K70" s="14">
        <v>0</v>
      </c>
      <c r="L70" s="14">
        <v>10</v>
      </c>
      <c r="M70" s="14">
        <v>3</v>
      </c>
      <c r="N70" s="14">
        <v>4</v>
      </c>
      <c r="O70" s="14">
        <v>1</v>
      </c>
      <c r="P70" s="15">
        <v>1</v>
      </c>
      <c r="Q70" s="15">
        <f>Tabelle3[[#This Row],[variableID]]</f>
        <v>70</v>
      </c>
      <c r="R70" s="15">
        <v>0</v>
      </c>
      <c r="S70" s="15" t="s">
        <v>1463</v>
      </c>
      <c r="T70" s="15">
        <v>0</v>
      </c>
      <c r="U70" s="21">
        <v>2</v>
      </c>
      <c r="V70" s="21">
        <f>Tabelle3[[#This Row],[variableID]]</f>
        <v>70</v>
      </c>
      <c r="W70" s="21">
        <v>0</v>
      </c>
      <c r="X70" s="21" t="s">
        <v>970</v>
      </c>
      <c r="Y70" s="21">
        <v>0</v>
      </c>
    </row>
    <row r="71" spans="1:25" x14ac:dyDescent="0.25">
      <c r="A71" s="19">
        <v>71</v>
      </c>
      <c r="B71" s="19" t="s">
        <v>1331</v>
      </c>
      <c r="C71" s="19" t="s">
        <v>1334</v>
      </c>
      <c r="D71" s="19" t="s">
        <v>1334</v>
      </c>
      <c r="E71" s="19" t="s">
        <v>326</v>
      </c>
      <c r="F71" s="19" t="s">
        <v>924</v>
      </c>
      <c r="G71" s="19" t="s">
        <v>1300</v>
      </c>
      <c r="H71" s="14">
        <f>Tabelle3[[#This Row],[variableID]]</f>
        <v>71</v>
      </c>
      <c r="I71" s="14">
        <v>0</v>
      </c>
      <c r="J71" s="14">
        <v>1</v>
      </c>
      <c r="K71" s="14">
        <v>0</v>
      </c>
      <c r="L71" s="14">
        <v>10</v>
      </c>
      <c r="M71" s="14">
        <v>3</v>
      </c>
      <c r="N71" s="14">
        <v>13</v>
      </c>
      <c r="O71" s="14">
        <v>1</v>
      </c>
      <c r="P71" s="15">
        <v>1</v>
      </c>
      <c r="Q71" s="15">
        <f>Tabelle3[[#This Row],[variableID]]</f>
        <v>71</v>
      </c>
      <c r="R71" s="15">
        <v>0</v>
      </c>
      <c r="S71" s="15" t="s">
        <v>1463</v>
      </c>
      <c r="T71" s="15">
        <v>0</v>
      </c>
      <c r="U71" s="21">
        <v>2</v>
      </c>
      <c r="V71" s="21">
        <f>Tabelle3[[#This Row],[variableID]]</f>
        <v>71</v>
      </c>
      <c r="W71" s="21">
        <v>0</v>
      </c>
      <c r="X71" s="21" t="s">
        <v>970</v>
      </c>
      <c r="Y71" s="21">
        <v>0</v>
      </c>
    </row>
    <row r="72" spans="1:25" x14ac:dyDescent="0.25">
      <c r="A72" s="19">
        <v>72</v>
      </c>
      <c r="B72" s="19" t="s">
        <v>1335</v>
      </c>
      <c r="C72" s="19" t="s">
        <v>1336</v>
      </c>
      <c r="D72" s="19" t="s">
        <v>1336</v>
      </c>
      <c r="E72" s="19" t="s">
        <v>326</v>
      </c>
      <c r="F72" s="19" t="s">
        <v>924</v>
      </c>
      <c r="G72" s="19" t="s">
        <v>1300</v>
      </c>
      <c r="H72" s="14">
        <f>Tabelle3[[#This Row],[variableID]]</f>
        <v>72</v>
      </c>
      <c r="I72" s="14">
        <v>0</v>
      </c>
      <c r="J72" s="14">
        <v>1</v>
      </c>
      <c r="K72" s="14">
        <v>0</v>
      </c>
      <c r="L72" s="14">
        <v>10</v>
      </c>
      <c r="M72" s="14">
        <v>3</v>
      </c>
      <c r="N72" s="14">
        <v>19</v>
      </c>
      <c r="O72" s="14">
        <v>1</v>
      </c>
      <c r="P72" s="15">
        <v>1</v>
      </c>
      <c r="Q72" s="15">
        <f>Tabelle3[[#This Row],[variableID]]</f>
        <v>72</v>
      </c>
      <c r="R72" s="15">
        <v>0</v>
      </c>
      <c r="S72" s="15" t="s">
        <v>1463</v>
      </c>
      <c r="T72" s="15">
        <v>0</v>
      </c>
      <c r="U72" s="21">
        <v>2</v>
      </c>
      <c r="V72" s="21">
        <f>Tabelle3[[#This Row],[variableID]]</f>
        <v>72</v>
      </c>
      <c r="W72" s="21">
        <v>0</v>
      </c>
      <c r="X72" s="21" t="s">
        <v>970</v>
      </c>
      <c r="Y72" s="21">
        <v>0</v>
      </c>
    </row>
    <row r="73" spans="1:25" x14ac:dyDescent="0.25">
      <c r="A73" s="19">
        <v>73</v>
      </c>
      <c r="B73" s="19" t="s">
        <v>1337</v>
      </c>
      <c r="C73" s="19" t="s">
        <v>1338</v>
      </c>
      <c r="D73" s="19" t="s">
        <v>1338</v>
      </c>
      <c r="E73" s="19" t="s">
        <v>326</v>
      </c>
      <c r="F73" s="19" t="s">
        <v>924</v>
      </c>
      <c r="G73" s="19" t="s">
        <v>1300</v>
      </c>
      <c r="H73" s="14">
        <f>Tabelle3[[#This Row],[variableID]]</f>
        <v>73</v>
      </c>
      <c r="I73" s="14">
        <v>0</v>
      </c>
      <c r="J73" s="14">
        <v>1</v>
      </c>
      <c r="K73" s="14">
        <v>0</v>
      </c>
      <c r="L73" s="14">
        <v>10</v>
      </c>
      <c r="M73" s="14">
        <v>3</v>
      </c>
      <c r="N73" s="14">
        <v>11</v>
      </c>
      <c r="O73" s="14">
        <v>1</v>
      </c>
      <c r="P73" s="15">
        <v>1</v>
      </c>
      <c r="Q73" s="15">
        <f>Tabelle3[[#This Row],[variableID]]</f>
        <v>73</v>
      </c>
      <c r="R73" s="15">
        <v>0</v>
      </c>
      <c r="S73" s="15" t="s">
        <v>1463</v>
      </c>
      <c r="T73" s="15">
        <v>0</v>
      </c>
      <c r="U73" s="21">
        <v>2</v>
      </c>
      <c r="V73" s="21">
        <f>Tabelle3[[#This Row],[variableID]]</f>
        <v>73</v>
      </c>
      <c r="W73" s="21">
        <v>0</v>
      </c>
      <c r="X73" s="21" t="s">
        <v>970</v>
      </c>
      <c r="Y73" s="21">
        <v>0</v>
      </c>
    </row>
    <row r="74" spans="1:25" x14ac:dyDescent="0.25">
      <c r="A74" s="19">
        <v>74</v>
      </c>
      <c r="B74" s="19" t="s">
        <v>1290</v>
      </c>
      <c r="C74" s="19" t="s">
        <v>1295</v>
      </c>
      <c r="D74" s="19" t="s">
        <v>1295</v>
      </c>
      <c r="E74" s="19" t="s">
        <v>326</v>
      </c>
      <c r="F74" s="19" t="s">
        <v>924</v>
      </c>
      <c r="G74" s="19" t="s">
        <v>1300</v>
      </c>
      <c r="H74" s="14">
        <f>Tabelle3[[#This Row],[variableID]]</f>
        <v>74</v>
      </c>
      <c r="I74" s="14">
        <v>0</v>
      </c>
      <c r="J74" s="14">
        <v>1</v>
      </c>
      <c r="K74" s="14">
        <v>0</v>
      </c>
      <c r="L74" s="14">
        <v>10</v>
      </c>
      <c r="M74" s="14">
        <v>3</v>
      </c>
      <c r="N74" s="14">
        <v>3</v>
      </c>
      <c r="O74" s="14">
        <v>1</v>
      </c>
      <c r="P74" s="15">
        <v>1</v>
      </c>
      <c r="Q74" s="15">
        <f>Tabelle3[[#This Row],[variableID]]</f>
        <v>74</v>
      </c>
      <c r="R74" s="15">
        <v>0</v>
      </c>
      <c r="S74" s="15" t="s">
        <v>1463</v>
      </c>
      <c r="T74" s="15">
        <v>0</v>
      </c>
      <c r="U74" s="21">
        <v>2</v>
      </c>
      <c r="V74" s="21">
        <f>Tabelle3[[#This Row],[variableID]]</f>
        <v>74</v>
      </c>
      <c r="W74" s="21">
        <v>0</v>
      </c>
      <c r="X74" s="21" t="s">
        <v>970</v>
      </c>
      <c r="Y74" s="21">
        <v>0</v>
      </c>
    </row>
    <row r="75" spans="1:25" x14ac:dyDescent="0.25">
      <c r="A75" s="19">
        <v>75</v>
      </c>
      <c r="B75" s="19" t="s">
        <v>1291</v>
      </c>
      <c r="C75" s="19" t="s">
        <v>1296</v>
      </c>
      <c r="D75" s="19" t="s">
        <v>1296</v>
      </c>
      <c r="E75" s="19" t="s">
        <v>326</v>
      </c>
      <c r="F75" s="19" t="s">
        <v>924</v>
      </c>
      <c r="G75" s="19" t="s">
        <v>1300</v>
      </c>
      <c r="H75" s="14">
        <f>Tabelle3[[#This Row],[variableID]]</f>
        <v>75</v>
      </c>
      <c r="I75" s="14">
        <v>0</v>
      </c>
      <c r="J75" s="14">
        <v>1</v>
      </c>
      <c r="K75" s="14">
        <v>0</v>
      </c>
      <c r="L75" s="14">
        <v>10</v>
      </c>
      <c r="M75" s="14">
        <v>3</v>
      </c>
      <c r="N75" s="14">
        <v>7</v>
      </c>
      <c r="O75" s="14">
        <v>1</v>
      </c>
      <c r="P75" s="15">
        <v>1</v>
      </c>
      <c r="Q75" s="15">
        <f>Tabelle3[[#This Row],[variableID]]</f>
        <v>75</v>
      </c>
      <c r="R75" s="15">
        <v>0</v>
      </c>
      <c r="S75" s="15" t="s">
        <v>1463</v>
      </c>
      <c r="T75" s="15">
        <v>0</v>
      </c>
      <c r="U75" s="21">
        <v>2</v>
      </c>
      <c r="V75" s="21">
        <f>Tabelle3[[#This Row],[variableID]]</f>
        <v>75</v>
      </c>
      <c r="W75" s="21">
        <v>0</v>
      </c>
      <c r="X75" s="21" t="s">
        <v>970</v>
      </c>
      <c r="Y75" s="21">
        <v>0</v>
      </c>
    </row>
    <row r="76" spans="1:25" x14ac:dyDescent="0.25">
      <c r="A76" s="19">
        <v>76</v>
      </c>
      <c r="B76" s="19" t="s">
        <v>1292</v>
      </c>
      <c r="C76" s="19" t="s">
        <v>1297</v>
      </c>
      <c r="D76" s="19" t="s">
        <v>1297</v>
      </c>
      <c r="E76" s="19" t="s">
        <v>326</v>
      </c>
      <c r="F76" s="19" t="s">
        <v>924</v>
      </c>
      <c r="G76" s="19" t="s">
        <v>1300</v>
      </c>
      <c r="H76" s="14">
        <f>Tabelle3[[#This Row],[variableID]]</f>
        <v>76</v>
      </c>
      <c r="I76" s="14">
        <v>0</v>
      </c>
      <c r="J76" s="14">
        <v>1</v>
      </c>
      <c r="K76" s="14">
        <v>0</v>
      </c>
      <c r="L76" s="14">
        <v>10</v>
      </c>
      <c r="M76" s="14">
        <v>3</v>
      </c>
      <c r="N76" s="14">
        <v>2</v>
      </c>
      <c r="O76" s="14">
        <v>1</v>
      </c>
      <c r="P76" s="15">
        <v>1</v>
      </c>
      <c r="Q76" s="15">
        <f>Tabelle3[[#This Row],[variableID]]</f>
        <v>76</v>
      </c>
      <c r="R76" s="15">
        <v>0</v>
      </c>
      <c r="S76" s="15" t="s">
        <v>1463</v>
      </c>
      <c r="T76" s="15">
        <v>0</v>
      </c>
      <c r="U76" s="21">
        <v>2</v>
      </c>
      <c r="V76" s="21">
        <f>Tabelle3[[#This Row],[variableID]]</f>
        <v>76</v>
      </c>
      <c r="W76" s="21">
        <v>0</v>
      </c>
      <c r="X76" s="21" t="s">
        <v>970</v>
      </c>
      <c r="Y76" s="21">
        <v>0</v>
      </c>
    </row>
    <row r="77" spans="1:25" x14ac:dyDescent="0.25">
      <c r="A77" s="19">
        <v>77</v>
      </c>
      <c r="B77" s="19" t="s">
        <v>1293</v>
      </c>
      <c r="C77" s="19" t="s">
        <v>1298</v>
      </c>
      <c r="D77" s="19" t="s">
        <v>1298</v>
      </c>
      <c r="E77" s="19" t="s">
        <v>326</v>
      </c>
      <c r="F77" s="19" t="s">
        <v>924</v>
      </c>
      <c r="G77" s="19" t="s">
        <v>1300</v>
      </c>
      <c r="H77" s="14">
        <f>Tabelle3[[#This Row],[variableID]]</f>
        <v>77</v>
      </c>
      <c r="I77" s="14">
        <v>0</v>
      </c>
      <c r="J77" s="14">
        <v>1</v>
      </c>
      <c r="K77" s="14">
        <v>0</v>
      </c>
      <c r="L77" s="14">
        <v>10</v>
      </c>
      <c r="M77" s="14">
        <v>3</v>
      </c>
      <c r="N77" s="14">
        <v>12</v>
      </c>
      <c r="O77" s="14">
        <v>1</v>
      </c>
      <c r="P77" s="15">
        <v>1</v>
      </c>
      <c r="Q77" s="15">
        <f>Tabelle3[[#This Row],[variableID]]</f>
        <v>77</v>
      </c>
      <c r="R77" s="15">
        <v>0</v>
      </c>
      <c r="S77" s="15" t="s">
        <v>1463</v>
      </c>
      <c r="T77" s="15">
        <v>0</v>
      </c>
      <c r="U77" s="21">
        <v>2</v>
      </c>
      <c r="V77" s="21">
        <f>Tabelle3[[#This Row],[variableID]]</f>
        <v>77</v>
      </c>
      <c r="W77" s="21">
        <v>0</v>
      </c>
      <c r="X77" s="21" t="s">
        <v>970</v>
      </c>
      <c r="Y77" s="21">
        <v>0</v>
      </c>
    </row>
    <row r="78" spans="1:25" x14ac:dyDescent="0.25">
      <c r="A78" s="19">
        <v>78</v>
      </c>
      <c r="B78" s="19" t="s">
        <v>1421</v>
      </c>
      <c r="C78" s="19" t="s">
        <v>1424</v>
      </c>
      <c r="D78" s="19" t="s">
        <v>1424</v>
      </c>
      <c r="E78" s="19" t="s">
        <v>41</v>
      </c>
      <c r="F78" s="19" t="s">
        <v>922</v>
      </c>
      <c r="G78" s="19"/>
      <c r="H78" s="14">
        <f>Tabelle3[[#This Row],[variableID]]</f>
        <v>78</v>
      </c>
      <c r="I78" s="14">
        <v>0</v>
      </c>
      <c r="J78" s="14">
        <v>1</v>
      </c>
      <c r="K78" s="14">
        <v>0</v>
      </c>
      <c r="L78" s="14">
        <v>10</v>
      </c>
      <c r="M78" s="14">
        <v>3</v>
      </c>
      <c r="N78" s="14">
        <v>17</v>
      </c>
      <c r="O78" s="14">
        <v>1</v>
      </c>
      <c r="P78" s="15">
        <v>1</v>
      </c>
      <c r="Q78" s="15">
        <f>Tabelle3[[#This Row],[variableID]]</f>
        <v>78</v>
      </c>
      <c r="R78" s="15">
        <v>1</v>
      </c>
      <c r="S78" s="15" t="s">
        <v>955</v>
      </c>
      <c r="T78" s="15" t="s">
        <v>1534</v>
      </c>
      <c r="U78" s="21">
        <v>2</v>
      </c>
      <c r="V78" s="21">
        <f>Tabelle3[[#This Row],[variableID]]</f>
        <v>78</v>
      </c>
      <c r="W78" s="21">
        <v>1</v>
      </c>
      <c r="X78" s="21" t="s">
        <v>955</v>
      </c>
      <c r="Y78" s="21" t="s">
        <v>1534</v>
      </c>
    </row>
    <row r="79" spans="1:25" x14ac:dyDescent="0.25">
      <c r="A79" s="19">
        <v>79</v>
      </c>
      <c r="B79" s="19" t="s">
        <v>1422</v>
      </c>
      <c r="C79" s="19" t="s">
        <v>1425</v>
      </c>
      <c r="D79" s="19" t="s">
        <v>1425</v>
      </c>
      <c r="E79" s="19" t="s">
        <v>41</v>
      </c>
      <c r="F79" s="19" t="s">
        <v>922</v>
      </c>
      <c r="G79" s="19"/>
      <c r="H79" s="14">
        <f>Tabelle3[[#This Row],[variableID]]</f>
        <v>79</v>
      </c>
      <c r="I79" s="14">
        <v>0</v>
      </c>
      <c r="J79" s="14">
        <v>1</v>
      </c>
      <c r="K79" s="14">
        <v>0</v>
      </c>
      <c r="L79" s="14">
        <v>10</v>
      </c>
      <c r="M79" s="14">
        <v>3</v>
      </c>
      <c r="N79" s="14">
        <v>15</v>
      </c>
      <c r="O79" s="14">
        <v>1</v>
      </c>
      <c r="P79" s="15">
        <v>1</v>
      </c>
      <c r="Q79" s="15">
        <f>Tabelle3[[#This Row],[variableID]]</f>
        <v>79</v>
      </c>
      <c r="R79" s="15">
        <v>1</v>
      </c>
      <c r="S79" s="15" t="s">
        <v>955</v>
      </c>
      <c r="T79" s="15" t="s">
        <v>1543</v>
      </c>
      <c r="U79" s="21">
        <v>2</v>
      </c>
      <c r="V79" s="21">
        <f>Tabelle3[[#This Row],[variableID]]</f>
        <v>79</v>
      </c>
      <c r="W79" s="21">
        <v>1</v>
      </c>
      <c r="X79" s="21" t="s">
        <v>955</v>
      </c>
      <c r="Y79" s="21" t="s">
        <v>1543</v>
      </c>
    </row>
    <row r="80" spans="1:25" x14ac:dyDescent="0.25">
      <c r="A80" s="19">
        <v>80</v>
      </c>
      <c r="B80" s="19" t="s">
        <v>1423</v>
      </c>
      <c r="C80" s="19" t="s">
        <v>1426</v>
      </c>
      <c r="D80" s="19" t="s">
        <v>1426</v>
      </c>
      <c r="E80" s="19" t="s">
        <v>41</v>
      </c>
      <c r="F80" s="19" t="s">
        <v>922</v>
      </c>
      <c r="G80" s="19"/>
      <c r="H80" s="14">
        <f>Tabelle3[[#This Row],[variableID]]</f>
        <v>80</v>
      </c>
      <c r="I80" s="14">
        <v>0</v>
      </c>
      <c r="J80" s="14">
        <v>1</v>
      </c>
      <c r="K80" s="14">
        <v>0</v>
      </c>
      <c r="L80" s="14">
        <v>10</v>
      </c>
      <c r="M80" s="14">
        <v>3</v>
      </c>
      <c r="N80" s="14">
        <v>19</v>
      </c>
      <c r="O80" s="14">
        <v>1</v>
      </c>
      <c r="P80" s="15">
        <v>1</v>
      </c>
      <c r="Q80" s="15">
        <f>Tabelle3[[#This Row],[variableID]]</f>
        <v>80</v>
      </c>
      <c r="R80" s="15">
        <v>1</v>
      </c>
      <c r="S80" s="15" t="s">
        <v>955</v>
      </c>
      <c r="T80" s="15" t="s">
        <v>1535</v>
      </c>
      <c r="U80" s="21">
        <v>2</v>
      </c>
      <c r="V80" s="21">
        <f>Tabelle3[[#This Row],[variableID]]</f>
        <v>80</v>
      </c>
      <c r="W80" s="21">
        <v>0</v>
      </c>
      <c r="X80" s="21" t="s">
        <v>1463</v>
      </c>
      <c r="Y80" s="21" t="s">
        <v>1535</v>
      </c>
    </row>
    <row r="81" spans="1:26" x14ac:dyDescent="0.25">
      <c r="A81" s="19">
        <v>81</v>
      </c>
      <c r="B81" s="29" t="s">
        <v>1591</v>
      </c>
      <c r="C81" s="29" t="s">
        <v>1594</v>
      </c>
      <c r="D81" s="29" t="s">
        <v>1594</v>
      </c>
      <c r="E81" s="29" t="s">
        <v>913</v>
      </c>
      <c r="F81" s="29" t="s">
        <v>927</v>
      </c>
      <c r="G81" s="19"/>
      <c r="H81" s="30">
        <f>Tabelle3[[#This Row],[variableID]]</f>
        <v>81</v>
      </c>
      <c r="I81" s="14">
        <v>0</v>
      </c>
      <c r="J81" s="14">
        <v>1</v>
      </c>
      <c r="K81" s="14">
        <v>0</v>
      </c>
      <c r="L81" s="14">
        <v>1</v>
      </c>
      <c r="M81" s="14">
        <v>2</v>
      </c>
      <c r="N81" s="14">
        <v>14</v>
      </c>
      <c r="O81" s="14">
        <v>1</v>
      </c>
      <c r="P81" s="15">
        <v>1</v>
      </c>
      <c r="Q81" s="27">
        <f>Tabelle3[[#This Row],[variableID]]</f>
        <v>81</v>
      </c>
      <c r="R81" s="15">
        <v>1</v>
      </c>
      <c r="S81" s="15" t="s">
        <v>955</v>
      </c>
      <c r="T81" s="15"/>
      <c r="U81" s="21">
        <v>2</v>
      </c>
      <c r="V81" s="21">
        <f>Tabelle3[[#This Row],[variableID]]</f>
        <v>81</v>
      </c>
      <c r="W81" s="21">
        <v>1</v>
      </c>
      <c r="X81" s="21" t="s">
        <v>955</v>
      </c>
      <c r="Y81" s="21" t="s">
        <v>1598</v>
      </c>
      <c r="Z81" s="21"/>
    </row>
    <row r="82" spans="1:26" x14ac:dyDescent="0.25">
      <c r="A82" s="19">
        <v>82</v>
      </c>
      <c r="B82" s="29" t="s">
        <v>1592</v>
      </c>
      <c r="C82" s="29" t="s">
        <v>1595</v>
      </c>
      <c r="D82" s="29" t="s">
        <v>1595</v>
      </c>
      <c r="E82" s="29" t="s">
        <v>913</v>
      </c>
      <c r="F82" s="29" t="s">
        <v>927</v>
      </c>
      <c r="G82" s="19"/>
      <c r="H82" s="30">
        <f>Tabelle3[[#This Row],[variableID]]</f>
        <v>82</v>
      </c>
      <c r="I82" s="14">
        <v>0</v>
      </c>
      <c r="J82" s="14">
        <v>1</v>
      </c>
      <c r="K82" s="14">
        <v>0</v>
      </c>
      <c r="L82" s="14">
        <v>1</v>
      </c>
      <c r="M82" s="14">
        <v>2</v>
      </c>
      <c r="N82" s="14">
        <v>15</v>
      </c>
      <c r="O82" s="14">
        <v>1</v>
      </c>
      <c r="P82" s="15">
        <v>1</v>
      </c>
      <c r="Q82" s="27">
        <f>Tabelle3[[#This Row],[variableID]]</f>
        <v>82</v>
      </c>
      <c r="R82" s="15">
        <v>1</v>
      </c>
      <c r="S82" s="15" t="s">
        <v>955</v>
      </c>
      <c r="T82" s="15"/>
      <c r="U82" s="21">
        <v>2</v>
      </c>
      <c r="V82" s="21">
        <f>Tabelle3[[#This Row],[variableID]]</f>
        <v>82</v>
      </c>
      <c r="W82" s="21">
        <v>1</v>
      </c>
      <c r="X82" s="21" t="s">
        <v>955</v>
      </c>
      <c r="Y82" s="36" t="s">
        <v>1597</v>
      </c>
      <c r="Z82" s="21"/>
    </row>
    <row r="83" spans="1:26" x14ac:dyDescent="0.25">
      <c r="A83" s="31">
        <v>83</v>
      </c>
      <c r="B83" s="29" t="s">
        <v>1593</v>
      </c>
      <c r="C83" s="29" t="s">
        <v>1596</v>
      </c>
      <c r="D83" s="29" t="s">
        <v>1596</v>
      </c>
      <c r="E83" s="29" t="s">
        <v>913</v>
      </c>
      <c r="F83" s="29" t="s">
        <v>927</v>
      </c>
      <c r="G83" s="31"/>
      <c r="H83" s="32">
        <f>Tabelle3[[#This Row],[variableID]]</f>
        <v>83</v>
      </c>
      <c r="I83" s="26">
        <v>0</v>
      </c>
      <c r="J83" s="26">
        <v>1</v>
      </c>
      <c r="K83" s="26">
        <v>0</v>
      </c>
      <c r="L83" s="26">
        <v>1</v>
      </c>
      <c r="M83" s="26">
        <v>2</v>
      </c>
      <c r="N83" s="26">
        <v>17</v>
      </c>
      <c r="O83" s="26">
        <v>1</v>
      </c>
      <c r="P83" s="33">
        <v>1</v>
      </c>
      <c r="Q83" s="34">
        <f>Tabelle3[[#This Row],[variableID]]</f>
        <v>83</v>
      </c>
      <c r="R83" s="33">
        <v>1</v>
      </c>
      <c r="S83" s="15" t="s">
        <v>955</v>
      </c>
      <c r="T83" s="33"/>
      <c r="U83" s="21">
        <v>2</v>
      </c>
      <c r="V83" s="35">
        <f>Tabelle3[[#This Row],[variableID]]</f>
        <v>83</v>
      </c>
      <c r="W83" s="35">
        <v>1</v>
      </c>
      <c r="X83" s="35" t="s">
        <v>955</v>
      </c>
      <c r="Y83" s="35"/>
    </row>
    <row r="84" spans="1:26" x14ac:dyDescent="0.25">
      <c r="A84" s="19"/>
      <c r="B84" s="19"/>
      <c r="C84" s="19"/>
      <c r="D84" s="19"/>
      <c r="E84" s="19"/>
      <c r="F84" s="19"/>
      <c r="G84" s="19"/>
      <c r="H84" s="28">
        <f>Tabelle3[[#This Row],[variableID]]</f>
        <v>0</v>
      </c>
      <c r="I84" s="14"/>
      <c r="J84" s="14"/>
      <c r="K84" s="14"/>
      <c r="L84" s="14"/>
      <c r="M84" s="14"/>
      <c r="N84" s="14"/>
      <c r="O84" s="14"/>
      <c r="P84" s="15"/>
      <c r="Q84" s="27">
        <f>Tabelle3[[#This Row],[variableID]]</f>
        <v>0</v>
      </c>
      <c r="R84" s="15"/>
      <c r="S84" s="15"/>
      <c r="T84" s="15"/>
      <c r="U84" s="21"/>
      <c r="V84" s="21">
        <f>Tabelle3[[#This Row],[variableID]]</f>
        <v>0</v>
      </c>
      <c r="W84" s="21"/>
      <c r="X84" s="21"/>
      <c r="Y84" s="21"/>
    </row>
    <row r="86" spans="1:26" ht="15.95" customHeight="1" x14ac:dyDescent="0.25"/>
  </sheetData>
  <phoneticPr fontId="3" type="noConversion"/>
  <conditionalFormatting sqref="C81:E83">
    <cfRule type="expression" dxfId="1" priority="2">
      <formula>IF(C81="",TRUE,FALSE)</formula>
    </cfRule>
  </conditionalFormatting>
  <conditionalFormatting sqref="F81:F83">
    <cfRule type="expression" dxfId="0" priority="1">
      <formula>IF(F81="",TRUE,FALSE)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3E1E-95BB-4B8C-8ECC-271C8DB577E8}">
  <dimension ref="A1:D20"/>
  <sheetViews>
    <sheetView workbookViewId="0">
      <selection activeCell="A2" sqref="A2:D20"/>
    </sheetView>
  </sheetViews>
  <sheetFormatPr defaultColWidth="11.42578125" defaultRowHeight="15" x14ac:dyDescent="0.25"/>
  <cols>
    <col min="1" max="1" width="12.42578125" customWidth="1"/>
    <col min="4" max="4" width="14.42578125" customWidth="1"/>
  </cols>
  <sheetData>
    <row r="1" spans="1:4" x14ac:dyDescent="0.25">
      <c r="A1" t="s">
        <v>1160</v>
      </c>
      <c r="B1" t="s">
        <v>828</v>
      </c>
      <c r="C1" t="s">
        <v>1161</v>
      </c>
      <c r="D1" t="s">
        <v>1162</v>
      </c>
    </row>
    <row r="2" spans="1:4" x14ac:dyDescent="0.25">
      <c r="A2">
        <v>1</v>
      </c>
      <c r="B2" t="s">
        <v>935</v>
      </c>
      <c r="C2" t="s">
        <v>1156</v>
      </c>
      <c r="D2" t="s">
        <v>955</v>
      </c>
    </row>
    <row r="3" spans="1:4" x14ac:dyDescent="0.25">
      <c r="A3">
        <v>2</v>
      </c>
      <c r="B3" t="s">
        <v>1157</v>
      </c>
      <c r="C3" t="s">
        <v>1156</v>
      </c>
      <c r="D3" t="s">
        <v>1158</v>
      </c>
    </row>
    <row r="4" spans="1:4" x14ac:dyDescent="0.25">
      <c r="A4">
        <v>3</v>
      </c>
      <c r="B4" t="s">
        <v>936</v>
      </c>
      <c r="C4" t="s">
        <v>1156</v>
      </c>
      <c r="D4" t="s">
        <v>1158</v>
      </c>
    </row>
    <row r="5" spans="1:4" x14ac:dyDescent="0.25">
      <c r="A5">
        <v>4</v>
      </c>
      <c r="B5" t="s">
        <v>1152</v>
      </c>
      <c r="C5" t="s">
        <v>1156</v>
      </c>
      <c r="D5" t="s">
        <v>1158</v>
      </c>
    </row>
    <row r="6" spans="1:4" x14ac:dyDescent="0.25">
      <c r="A6">
        <v>5</v>
      </c>
      <c r="B6" t="s">
        <v>1153</v>
      </c>
      <c r="C6" t="s">
        <v>1156</v>
      </c>
      <c r="D6" t="s">
        <v>955</v>
      </c>
    </row>
    <row r="7" spans="1:4" x14ac:dyDescent="0.25">
      <c r="A7">
        <v>6</v>
      </c>
      <c r="B7" t="s">
        <v>941</v>
      </c>
      <c r="C7" t="s">
        <v>1156</v>
      </c>
      <c r="D7" t="s">
        <v>1158</v>
      </c>
    </row>
    <row r="8" spans="1:4" x14ac:dyDescent="0.25">
      <c r="A8">
        <v>7</v>
      </c>
      <c r="B8" t="s">
        <v>1468</v>
      </c>
      <c r="C8" t="s">
        <v>1156</v>
      </c>
      <c r="D8" t="s">
        <v>955</v>
      </c>
    </row>
    <row r="9" spans="1:4" x14ac:dyDescent="0.25">
      <c r="A9">
        <v>8</v>
      </c>
      <c r="B9" t="s">
        <v>224</v>
      </c>
      <c r="C9" t="s">
        <v>1156</v>
      </c>
      <c r="D9" t="s">
        <v>955</v>
      </c>
    </row>
    <row r="10" spans="1:4" x14ac:dyDescent="0.25">
      <c r="A10">
        <v>9</v>
      </c>
      <c r="B10" t="s">
        <v>223</v>
      </c>
      <c r="C10" t="s">
        <v>1156</v>
      </c>
      <c r="D10" t="s">
        <v>955</v>
      </c>
    </row>
    <row r="11" spans="1:4" x14ac:dyDescent="0.25">
      <c r="A11">
        <v>10</v>
      </c>
      <c r="B11" t="s">
        <v>944</v>
      </c>
      <c r="C11" t="s">
        <v>944</v>
      </c>
      <c r="D11" t="s">
        <v>1158</v>
      </c>
    </row>
    <row r="12" spans="1:4" x14ac:dyDescent="0.25">
      <c r="A12">
        <v>11</v>
      </c>
      <c r="B12" t="s">
        <v>945</v>
      </c>
      <c r="C12" t="s">
        <v>426</v>
      </c>
      <c r="D12" t="s">
        <v>1158</v>
      </c>
    </row>
    <row r="13" spans="1:4" x14ac:dyDescent="0.25">
      <c r="A13">
        <v>12</v>
      </c>
      <c r="B13" t="s">
        <v>946</v>
      </c>
      <c r="C13" t="s">
        <v>426</v>
      </c>
      <c r="D13" t="s">
        <v>1158</v>
      </c>
    </row>
    <row r="14" spans="1:4" x14ac:dyDescent="0.25">
      <c r="A14">
        <v>13</v>
      </c>
      <c r="B14" t="s">
        <v>953</v>
      </c>
      <c r="C14" t="s">
        <v>426</v>
      </c>
      <c r="D14" t="s">
        <v>1158</v>
      </c>
    </row>
    <row r="15" spans="1:4" x14ac:dyDescent="0.25">
      <c r="A15">
        <v>14</v>
      </c>
      <c r="B15" t="s">
        <v>510</v>
      </c>
      <c r="C15" t="s">
        <v>426</v>
      </c>
      <c r="D15" t="s">
        <v>1158</v>
      </c>
    </row>
    <row r="16" spans="1:4" x14ac:dyDescent="0.25">
      <c r="A16">
        <v>15</v>
      </c>
      <c r="B16" t="s">
        <v>954</v>
      </c>
      <c r="C16" t="s">
        <v>954</v>
      </c>
      <c r="D16" t="s">
        <v>1159</v>
      </c>
    </row>
    <row r="17" spans="1:4" x14ac:dyDescent="0.25">
      <c r="A17">
        <v>16</v>
      </c>
      <c r="B17" t="s">
        <v>1272</v>
      </c>
      <c r="C17" t="s">
        <v>1156</v>
      </c>
      <c r="D17" t="s">
        <v>1158</v>
      </c>
    </row>
    <row r="18" spans="1:4" x14ac:dyDescent="0.25">
      <c r="A18">
        <v>17</v>
      </c>
      <c r="B18" t="s">
        <v>947</v>
      </c>
      <c r="C18" t="s">
        <v>297</v>
      </c>
      <c r="D18" t="s">
        <v>1158</v>
      </c>
    </row>
    <row r="19" spans="1:4" x14ac:dyDescent="0.25">
      <c r="A19">
        <v>18</v>
      </c>
      <c r="B19" t="s">
        <v>425</v>
      </c>
      <c r="C19" t="s">
        <v>297</v>
      </c>
      <c r="D19" t="s">
        <v>1158</v>
      </c>
    </row>
    <row r="20" spans="1:4" x14ac:dyDescent="0.25">
      <c r="A20">
        <v>19</v>
      </c>
      <c r="B20" t="s">
        <v>948</v>
      </c>
      <c r="C20" t="s">
        <v>297</v>
      </c>
      <c r="D20" t="s">
        <v>1158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B67D-3C37-4139-A1D1-2CDE9966DC3D}">
  <dimension ref="A1:H242"/>
  <sheetViews>
    <sheetView topLeftCell="A197" workbookViewId="0">
      <selection activeCell="L181" sqref="L181"/>
    </sheetView>
  </sheetViews>
  <sheetFormatPr defaultColWidth="11.42578125" defaultRowHeight="15" x14ac:dyDescent="0.25"/>
  <cols>
    <col min="1" max="1" width="12.7109375" customWidth="1"/>
    <col min="7" max="7" width="13.140625" customWidth="1"/>
    <col min="8" max="8" width="21.85546875" customWidth="1"/>
  </cols>
  <sheetData>
    <row r="1" spans="1:8" x14ac:dyDescent="0.25">
      <c r="A1" t="s">
        <v>835</v>
      </c>
      <c r="B1" t="s">
        <v>831</v>
      </c>
      <c r="C1" t="s">
        <v>828</v>
      </c>
      <c r="D1" t="s">
        <v>829</v>
      </c>
      <c r="E1" t="s">
        <v>830</v>
      </c>
      <c r="F1" t="s">
        <v>832</v>
      </c>
      <c r="G1" t="s">
        <v>833</v>
      </c>
      <c r="H1" t="s">
        <v>934</v>
      </c>
    </row>
    <row r="2" spans="1:8" hidden="1" x14ac:dyDescent="0.25">
      <c r="A2">
        <v>1</v>
      </c>
      <c r="B2">
        <v>1</v>
      </c>
      <c r="C2" t="s">
        <v>31</v>
      </c>
      <c r="D2" t="s">
        <v>864</v>
      </c>
      <c r="E2">
        <v>0.5</v>
      </c>
      <c r="F2" t="s">
        <v>32</v>
      </c>
      <c r="G2" t="s">
        <v>33</v>
      </c>
      <c r="H2" t="s">
        <v>935</v>
      </c>
    </row>
    <row r="3" spans="1:8" hidden="1" x14ac:dyDescent="0.25">
      <c r="A3">
        <v>2</v>
      </c>
      <c r="B3">
        <v>1</v>
      </c>
      <c r="C3" t="s">
        <v>3</v>
      </c>
      <c r="D3" t="s">
        <v>583</v>
      </c>
      <c r="E3">
        <v>20</v>
      </c>
      <c r="F3" t="s">
        <v>4</v>
      </c>
      <c r="G3" t="s">
        <v>5</v>
      </c>
      <c r="H3" t="s">
        <v>935</v>
      </c>
    </row>
    <row r="4" spans="1:8" hidden="1" x14ac:dyDescent="0.25">
      <c r="A4">
        <v>3</v>
      </c>
      <c r="B4">
        <v>1</v>
      </c>
      <c r="C4" t="s">
        <v>9</v>
      </c>
      <c r="D4" t="s">
        <v>585</v>
      </c>
      <c r="E4">
        <v>7.5</v>
      </c>
      <c r="F4" t="s">
        <v>10</v>
      </c>
      <c r="G4" t="s">
        <v>11</v>
      </c>
      <c r="H4" t="s">
        <v>935</v>
      </c>
    </row>
    <row r="5" spans="1:8" hidden="1" x14ac:dyDescent="0.25">
      <c r="A5">
        <v>4</v>
      </c>
      <c r="B5">
        <v>1</v>
      </c>
      <c r="C5" t="s">
        <v>16</v>
      </c>
      <c r="D5" t="s">
        <v>588</v>
      </c>
      <c r="E5">
        <v>0</v>
      </c>
      <c r="F5" t="s">
        <v>10</v>
      </c>
      <c r="G5" t="s">
        <v>17</v>
      </c>
      <c r="H5" t="s">
        <v>935</v>
      </c>
    </row>
    <row r="6" spans="1:8" hidden="1" x14ac:dyDescent="0.25">
      <c r="A6">
        <v>5</v>
      </c>
      <c r="B6">
        <v>1</v>
      </c>
      <c r="C6" t="s">
        <v>18</v>
      </c>
      <c r="D6" t="s">
        <v>589</v>
      </c>
      <c r="E6">
        <v>6</v>
      </c>
      <c r="F6" t="s">
        <v>10</v>
      </c>
      <c r="G6" t="s">
        <v>19</v>
      </c>
      <c r="H6" t="s">
        <v>935</v>
      </c>
    </row>
    <row r="7" spans="1:8" hidden="1" x14ac:dyDescent="0.25">
      <c r="A7">
        <v>6</v>
      </c>
      <c r="B7">
        <v>1</v>
      </c>
      <c r="C7" t="s">
        <v>12</v>
      </c>
      <c r="D7" t="s">
        <v>586</v>
      </c>
      <c r="E7">
        <v>0</v>
      </c>
      <c r="F7" t="s">
        <v>10</v>
      </c>
      <c r="G7" t="s">
        <v>13</v>
      </c>
      <c r="H7" t="s">
        <v>935</v>
      </c>
    </row>
    <row r="8" spans="1:8" hidden="1" x14ac:dyDescent="0.25">
      <c r="A8">
        <v>7</v>
      </c>
      <c r="B8">
        <v>1</v>
      </c>
      <c r="C8" t="s">
        <v>14</v>
      </c>
      <c r="D8" t="s">
        <v>587</v>
      </c>
      <c r="E8">
        <v>0</v>
      </c>
      <c r="F8" t="s">
        <v>10</v>
      </c>
      <c r="G8" t="s">
        <v>15</v>
      </c>
      <c r="H8" t="s">
        <v>935</v>
      </c>
    </row>
    <row r="9" spans="1:8" hidden="1" x14ac:dyDescent="0.25">
      <c r="A9">
        <v>8</v>
      </c>
      <c r="B9">
        <v>1</v>
      </c>
      <c r="C9" t="s">
        <v>20</v>
      </c>
      <c r="D9" t="s">
        <v>590</v>
      </c>
      <c r="E9">
        <v>0</v>
      </c>
      <c r="F9" t="s">
        <v>21</v>
      </c>
      <c r="G9" t="s">
        <v>22</v>
      </c>
      <c r="H9" t="s">
        <v>935</v>
      </c>
    </row>
    <row r="10" spans="1:8" hidden="1" x14ac:dyDescent="0.25">
      <c r="A10">
        <v>9</v>
      </c>
      <c r="B10">
        <v>1</v>
      </c>
      <c r="C10" t="s">
        <v>0</v>
      </c>
      <c r="D10" t="s">
        <v>582</v>
      </c>
      <c r="E10">
        <v>14</v>
      </c>
      <c r="F10" t="s">
        <v>1</v>
      </c>
      <c r="G10" t="s">
        <v>2</v>
      </c>
      <c r="H10" t="s">
        <v>935</v>
      </c>
    </row>
    <row r="11" spans="1:8" hidden="1" x14ac:dyDescent="0.25">
      <c r="A11">
        <v>10</v>
      </c>
      <c r="B11">
        <v>1</v>
      </c>
      <c r="C11" t="s">
        <v>6</v>
      </c>
      <c r="D11" t="s">
        <v>584</v>
      </c>
      <c r="E11">
        <v>400</v>
      </c>
      <c r="F11" t="s">
        <v>7</v>
      </c>
      <c r="G11" t="s">
        <v>8</v>
      </c>
      <c r="H11" t="s">
        <v>935</v>
      </c>
    </row>
    <row r="12" spans="1:8" hidden="1" x14ac:dyDescent="0.25">
      <c r="A12">
        <v>11</v>
      </c>
      <c r="B12">
        <v>1</v>
      </c>
      <c r="C12" t="s">
        <v>25</v>
      </c>
      <c r="D12" t="s">
        <v>591</v>
      </c>
      <c r="E12">
        <v>6.7</v>
      </c>
      <c r="F12" t="s">
        <v>26</v>
      </c>
      <c r="G12" t="s">
        <v>27</v>
      </c>
      <c r="H12" t="s">
        <v>935</v>
      </c>
    </row>
    <row r="13" spans="1:8" hidden="1" x14ac:dyDescent="0.25">
      <c r="A13">
        <v>12</v>
      </c>
      <c r="B13">
        <v>1</v>
      </c>
      <c r="C13" t="s">
        <v>23</v>
      </c>
      <c r="D13" t="s">
        <v>704</v>
      </c>
      <c r="E13">
        <v>20</v>
      </c>
      <c r="F13" t="s">
        <v>4</v>
      </c>
      <c r="G13" t="s">
        <v>24</v>
      </c>
      <c r="H13" t="s">
        <v>935</v>
      </c>
    </row>
    <row r="14" spans="1:8" hidden="1" x14ac:dyDescent="0.25">
      <c r="A14">
        <v>13</v>
      </c>
      <c r="B14">
        <v>1</v>
      </c>
      <c r="C14" t="s">
        <v>28</v>
      </c>
      <c r="D14" t="s">
        <v>592</v>
      </c>
      <c r="E14">
        <v>32</v>
      </c>
      <c r="F14" t="s">
        <v>29</v>
      </c>
      <c r="G14" t="s">
        <v>30</v>
      </c>
      <c r="H14" t="s">
        <v>935</v>
      </c>
    </row>
    <row r="15" spans="1:8" hidden="1" x14ac:dyDescent="0.25">
      <c r="A15">
        <v>14</v>
      </c>
      <c r="B15">
        <v>2</v>
      </c>
      <c r="C15" t="s">
        <v>931</v>
      </c>
      <c r="D15" t="s">
        <v>932</v>
      </c>
      <c r="E15">
        <v>1.4735071000000001E-2</v>
      </c>
      <c r="F15" t="s">
        <v>41</v>
      </c>
      <c r="G15" t="s">
        <v>933</v>
      </c>
      <c r="H15" t="s">
        <v>226</v>
      </c>
    </row>
    <row r="16" spans="1:8" hidden="1" x14ac:dyDescent="0.25">
      <c r="A16">
        <v>15</v>
      </c>
      <c r="B16">
        <v>2</v>
      </c>
      <c r="C16" t="s">
        <v>40</v>
      </c>
      <c r="D16" t="s">
        <v>595</v>
      </c>
      <c r="E16">
        <v>5</v>
      </c>
      <c r="F16" t="s">
        <v>41</v>
      </c>
      <c r="G16" t="s">
        <v>42</v>
      </c>
      <c r="H16" t="s">
        <v>226</v>
      </c>
    </row>
    <row r="17" spans="1:8" hidden="1" x14ac:dyDescent="0.25">
      <c r="A17">
        <v>16</v>
      </c>
      <c r="B17">
        <v>2</v>
      </c>
      <c r="C17" t="s">
        <v>43</v>
      </c>
      <c r="D17" t="s">
        <v>596</v>
      </c>
      <c r="E17">
        <v>0</v>
      </c>
      <c r="F17" t="s">
        <v>41</v>
      </c>
      <c r="G17" t="s">
        <v>44</v>
      </c>
      <c r="H17" t="s">
        <v>226</v>
      </c>
    </row>
    <row r="18" spans="1:8" hidden="1" x14ac:dyDescent="0.25">
      <c r="A18">
        <v>17</v>
      </c>
      <c r="B18">
        <v>2</v>
      </c>
      <c r="C18" t="s">
        <v>45</v>
      </c>
      <c r="D18" t="s">
        <v>597</v>
      </c>
      <c r="E18">
        <v>0</v>
      </c>
      <c r="F18" t="s">
        <v>41</v>
      </c>
      <c r="G18" t="s">
        <v>46</v>
      </c>
      <c r="H18" t="s">
        <v>226</v>
      </c>
    </row>
    <row r="19" spans="1:8" hidden="1" x14ac:dyDescent="0.25">
      <c r="A19">
        <v>18</v>
      </c>
      <c r="B19">
        <v>2</v>
      </c>
      <c r="C19" t="s">
        <v>47</v>
      </c>
      <c r="D19" t="s">
        <v>598</v>
      </c>
      <c r="E19">
        <v>3</v>
      </c>
      <c r="F19" t="s">
        <v>41</v>
      </c>
      <c r="G19" t="s">
        <v>48</v>
      </c>
      <c r="H19" t="s">
        <v>226</v>
      </c>
    </row>
    <row r="20" spans="1:8" hidden="1" x14ac:dyDescent="0.25">
      <c r="A20">
        <v>19</v>
      </c>
      <c r="B20">
        <v>2</v>
      </c>
      <c r="C20" t="s">
        <v>95</v>
      </c>
      <c r="D20" t="s">
        <v>615</v>
      </c>
      <c r="E20">
        <v>7.5</v>
      </c>
      <c r="F20" t="s">
        <v>26</v>
      </c>
      <c r="G20" t="s">
        <v>96</v>
      </c>
      <c r="H20" t="s">
        <v>226</v>
      </c>
    </row>
    <row r="21" spans="1:8" hidden="1" x14ac:dyDescent="0.25">
      <c r="A21">
        <v>20</v>
      </c>
      <c r="B21">
        <v>2</v>
      </c>
      <c r="C21" t="s">
        <v>81</v>
      </c>
      <c r="D21" t="s">
        <v>610</v>
      </c>
      <c r="E21">
        <v>100</v>
      </c>
      <c r="F21" t="s">
        <v>4</v>
      </c>
      <c r="G21" t="s">
        <v>82</v>
      </c>
      <c r="H21" t="s">
        <v>226</v>
      </c>
    </row>
    <row r="22" spans="1:8" hidden="1" x14ac:dyDescent="0.25">
      <c r="A22">
        <v>21</v>
      </c>
      <c r="B22">
        <v>2</v>
      </c>
      <c r="C22" t="s">
        <v>93</v>
      </c>
      <c r="D22" t="s">
        <v>614</v>
      </c>
      <c r="E22">
        <v>32</v>
      </c>
      <c r="F22" t="s">
        <v>29</v>
      </c>
      <c r="G22" t="s">
        <v>94</v>
      </c>
      <c r="H22" t="s">
        <v>226</v>
      </c>
    </row>
    <row r="23" spans="1:8" hidden="1" x14ac:dyDescent="0.25">
      <c r="A23">
        <v>22</v>
      </c>
      <c r="B23">
        <v>2</v>
      </c>
      <c r="C23" t="s">
        <v>91</v>
      </c>
      <c r="D23" t="s">
        <v>613</v>
      </c>
      <c r="E23">
        <v>32</v>
      </c>
      <c r="F23" t="s">
        <v>29</v>
      </c>
      <c r="G23" t="s">
        <v>92</v>
      </c>
      <c r="H23" t="s">
        <v>226</v>
      </c>
    </row>
    <row r="24" spans="1:8" hidden="1" x14ac:dyDescent="0.25">
      <c r="A24">
        <v>23</v>
      </c>
      <c r="B24">
        <v>2</v>
      </c>
      <c r="C24" t="s">
        <v>37</v>
      </c>
      <c r="D24" t="s">
        <v>594</v>
      </c>
      <c r="E24">
        <v>10</v>
      </c>
      <c r="F24" t="s">
        <v>38</v>
      </c>
      <c r="G24" t="s">
        <v>39</v>
      </c>
      <c r="H24" t="s">
        <v>226</v>
      </c>
    </row>
    <row r="25" spans="1:8" hidden="1" x14ac:dyDescent="0.25">
      <c r="A25">
        <v>24</v>
      </c>
      <c r="B25">
        <v>2</v>
      </c>
      <c r="C25" t="s">
        <v>63</v>
      </c>
      <c r="D25" t="s">
        <v>602</v>
      </c>
      <c r="E25">
        <v>2</v>
      </c>
      <c r="F25" t="s">
        <v>38</v>
      </c>
      <c r="G25" t="s">
        <v>64</v>
      </c>
      <c r="H25" t="s">
        <v>226</v>
      </c>
    </row>
    <row r="26" spans="1:8" hidden="1" x14ac:dyDescent="0.25">
      <c r="A26">
        <v>25</v>
      </c>
      <c r="B26">
        <v>3</v>
      </c>
      <c r="C26" t="s">
        <v>49</v>
      </c>
      <c r="D26" t="s">
        <v>599</v>
      </c>
      <c r="E26">
        <v>150000</v>
      </c>
      <c r="F26" t="s">
        <v>50</v>
      </c>
      <c r="G26" t="s">
        <v>51</v>
      </c>
      <c r="H26" t="s">
        <v>936</v>
      </c>
    </row>
    <row r="27" spans="1:8" hidden="1" x14ac:dyDescent="0.25">
      <c r="A27">
        <v>26</v>
      </c>
      <c r="B27">
        <v>3</v>
      </c>
      <c r="C27" t="s">
        <v>52</v>
      </c>
      <c r="D27" t="s">
        <v>865</v>
      </c>
      <c r="E27">
        <v>0.2094</v>
      </c>
      <c r="F27" t="s">
        <v>26</v>
      </c>
      <c r="G27" t="s">
        <v>53</v>
      </c>
      <c r="H27" t="s">
        <v>936</v>
      </c>
    </row>
    <row r="28" spans="1:8" hidden="1" x14ac:dyDescent="0.25">
      <c r="A28">
        <v>27</v>
      </c>
      <c r="B28">
        <v>3</v>
      </c>
      <c r="C28" t="s">
        <v>937</v>
      </c>
      <c r="D28" t="s">
        <v>938</v>
      </c>
      <c r="E28">
        <v>4.0000000000000001E-3</v>
      </c>
      <c r="F28" t="s">
        <v>26</v>
      </c>
      <c r="G28" t="s">
        <v>939</v>
      </c>
      <c r="H28" t="s">
        <v>936</v>
      </c>
    </row>
    <row r="29" spans="1:8" hidden="1" x14ac:dyDescent="0.25">
      <c r="A29">
        <v>28</v>
      </c>
      <c r="B29">
        <v>4</v>
      </c>
      <c r="C29" t="s">
        <v>56</v>
      </c>
      <c r="D29" t="s">
        <v>866</v>
      </c>
      <c r="E29">
        <v>200</v>
      </c>
      <c r="F29" t="s">
        <v>41</v>
      </c>
      <c r="G29" t="s">
        <v>57</v>
      </c>
      <c r="H29" t="s">
        <v>940</v>
      </c>
    </row>
    <row r="30" spans="1:8" hidden="1" x14ac:dyDescent="0.25">
      <c r="A30">
        <v>31</v>
      </c>
      <c r="B30">
        <v>4</v>
      </c>
      <c r="C30" t="s">
        <v>58</v>
      </c>
      <c r="D30" t="s">
        <v>867</v>
      </c>
      <c r="E30">
        <v>0</v>
      </c>
      <c r="F30" t="s">
        <v>41</v>
      </c>
      <c r="G30" t="s">
        <v>59</v>
      </c>
      <c r="H30" t="s">
        <v>940</v>
      </c>
    </row>
    <row r="31" spans="1:8" hidden="1" x14ac:dyDescent="0.25">
      <c r="A31">
        <v>32</v>
      </c>
      <c r="B31">
        <v>4</v>
      </c>
      <c r="C31" t="s">
        <v>60</v>
      </c>
      <c r="D31" t="s">
        <v>601</v>
      </c>
      <c r="E31">
        <v>0</v>
      </c>
      <c r="F31" t="s">
        <v>61</v>
      </c>
      <c r="G31" t="s">
        <v>62</v>
      </c>
      <c r="H31" t="s">
        <v>940</v>
      </c>
    </row>
    <row r="32" spans="1:8" hidden="1" x14ac:dyDescent="0.25">
      <c r="A32">
        <v>33</v>
      </c>
      <c r="B32">
        <v>5</v>
      </c>
      <c r="C32" t="s">
        <v>67</v>
      </c>
      <c r="D32" t="s">
        <v>603</v>
      </c>
      <c r="E32">
        <v>0</v>
      </c>
      <c r="F32" t="s">
        <v>41</v>
      </c>
      <c r="G32" t="s">
        <v>68</v>
      </c>
      <c r="H32" t="s">
        <v>940</v>
      </c>
    </row>
    <row r="33" spans="1:8" hidden="1" x14ac:dyDescent="0.25">
      <c r="A33">
        <v>34</v>
      </c>
      <c r="B33">
        <v>5</v>
      </c>
      <c r="C33" t="s">
        <v>69</v>
      </c>
      <c r="D33" t="s">
        <v>604</v>
      </c>
      <c r="E33">
        <v>0</v>
      </c>
      <c r="F33" t="s">
        <v>41</v>
      </c>
      <c r="G33" t="s">
        <v>70</v>
      </c>
      <c r="H33" t="s">
        <v>940</v>
      </c>
    </row>
    <row r="34" spans="1:8" hidden="1" x14ac:dyDescent="0.25">
      <c r="A34">
        <v>35</v>
      </c>
      <c r="B34">
        <v>5</v>
      </c>
      <c r="C34" t="s">
        <v>132</v>
      </c>
      <c r="D34" t="s">
        <v>633</v>
      </c>
      <c r="E34">
        <v>0</v>
      </c>
      <c r="F34" t="s">
        <v>61</v>
      </c>
      <c r="G34" t="s">
        <v>133</v>
      </c>
      <c r="H34" t="s">
        <v>941</v>
      </c>
    </row>
    <row r="35" spans="1:8" hidden="1" x14ac:dyDescent="0.25">
      <c r="A35">
        <v>36</v>
      </c>
      <c r="B35">
        <v>5</v>
      </c>
      <c r="C35" t="s">
        <v>134</v>
      </c>
      <c r="D35" t="s">
        <v>634</v>
      </c>
      <c r="E35">
        <v>2.44</v>
      </c>
      <c r="F35" t="s">
        <v>61</v>
      </c>
      <c r="G35" t="s">
        <v>834</v>
      </c>
      <c r="H35" t="s">
        <v>941</v>
      </c>
    </row>
    <row r="36" spans="1:8" hidden="1" x14ac:dyDescent="0.25">
      <c r="A36">
        <v>37</v>
      </c>
      <c r="B36">
        <v>5</v>
      </c>
      <c r="C36" t="s">
        <v>130</v>
      </c>
      <c r="D36" t="s">
        <v>632</v>
      </c>
      <c r="E36">
        <v>0.05</v>
      </c>
      <c r="F36" t="s">
        <v>61</v>
      </c>
      <c r="G36" t="s">
        <v>131</v>
      </c>
      <c r="H36" t="s">
        <v>941</v>
      </c>
    </row>
    <row r="37" spans="1:8" hidden="1" x14ac:dyDescent="0.25">
      <c r="A37">
        <v>38</v>
      </c>
      <c r="B37">
        <v>5</v>
      </c>
      <c r="C37" t="s">
        <v>71</v>
      </c>
      <c r="D37" t="s">
        <v>605</v>
      </c>
      <c r="E37">
        <v>16.47</v>
      </c>
      <c r="F37" t="s">
        <v>61</v>
      </c>
      <c r="G37" t="s">
        <v>72</v>
      </c>
      <c r="H37" t="s">
        <v>941</v>
      </c>
    </row>
    <row r="38" spans="1:8" hidden="1" x14ac:dyDescent="0.25">
      <c r="A38">
        <v>39</v>
      </c>
      <c r="B38">
        <v>5</v>
      </c>
      <c r="C38" t="s">
        <v>126</v>
      </c>
      <c r="D38" t="s">
        <v>630</v>
      </c>
      <c r="E38">
        <v>9.8000000000000004E-2</v>
      </c>
      <c r="F38" t="s">
        <v>61</v>
      </c>
      <c r="G38" t="s">
        <v>127</v>
      </c>
      <c r="H38" t="s">
        <v>941</v>
      </c>
    </row>
    <row r="39" spans="1:8" hidden="1" x14ac:dyDescent="0.25">
      <c r="A39">
        <v>40</v>
      </c>
      <c r="B39">
        <v>5</v>
      </c>
      <c r="C39" t="s">
        <v>128</v>
      </c>
      <c r="D39" t="s">
        <v>631</v>
      </c>
      <c r="E39">
        <v>0.03</v>
      </c>
      <c r="F39" t="s">
        <v>61</v>
      </c>
      <c r="G39" t="s">
        <v>129</v>
      </c>
      <c r="H39" t="s">
        <v>941</v>
      </c>
    </row>
    <row r="40" spans="1:8" hidden="1" x14ac:dyDescent="0.25">
      <c r="A40">
        <v>41</v>
      </c>
      <c r="B40">
        <v>5</v>
      </c>
      <c r="C40" t="s">
        <v>73</v>
      </c>
      <c r="D40" t="s">
        <v>606</v>
      </c>
      <c r="E40">
        <v>0</v>
      </c>
      <c r="F40" t="s">
        <v>61</v>
      </c>
      <c r="G40" t="s">
        <v>74</v>
      </c>
      <c r="H40" t="s">
        <v>941</v>
      </c>
    </row>
    <row r="41" spans="1:8" hidden="1" x14ac:dyDescent="0.25">
      <c r="A41">
        <v>42</v>
      </c>
      <c r="B41">
        <v>5</v>
      </c>
      <c r="C41" t="s">
        <v>75</v>
      </c>
      <c r="D41" t="s">
        <v>607</v>
      </c>
      <c r="E41">
        <v>0</v>
      </c>
      <c r="F41" t="s">
        <v>61</v>
      </c>
      <c r="G41" t="s">
        <v>76</v>
      </c>
      <c r="H41" t="s">
        <v>941</v>
      </c>
    </row>
    <row r="42" spans="1:8" hidden="1" x14ac:dyDescent="0.25">
      <c r="A42">
        <v>43</v>
      </c>
      <c r="B42">
        <v>5</v>
      </c>
      <c r="C42" t="s">
        <v>77</v>
      </c>
      <c r="D42" t="s">
        <v>608</v>
      </c>
      <c r="E42">
        <v>0</v>
      </c>
      <c r="F42" t="s">
        <v>41</v>
      </c>
      <c r="G42" t="s">
        <v>78</v>
      </c>
      <c r="H42" t="s">
        <v>941</v>
      </c>
    </row>
    <row r="43" spans="1:8" hidden="1" x14ac:dyDescent="0.25">
      <c r="A43">
        <v>44</v>
      </c>
      <c r="B43">
        <v>5</v>
      </c>
      <c r="C43" t="s">
        <v>79</v>
      </c>
      <c r="D43" t="s">
        <v>609</v>
      </c>
      <c r="E43">
        <v>0</v>
      </c>
      <c r="F43" t="s">
        <v>41</v>
      </c>
      <c r="G43" t="s">
        <v>80</v>
      </c>
      <c r="H43" t="s">
        <v>941</v>
      </c>
    </row>
    <row r="44" spans="1:8" hidden="1" x14ac:dyDescent="0.25">
      <c r="A44">
        <v>45</v>
      </c>
      <c r="B44">
        <v>5</v>
      </c>
      <c r="C44" t="s">
        <v>124</v>
      </c>
      <c r="D44" t="s">
        <v>629</v>
      </c>
      <c r="E44">
        <v>0</v>
      </c>
      <c r="F44" t="s">
        <v>61</v>
      </c>
      <c r="G44" t="s">
        <v>125</v>
      </c>
      <c r="H44" t="s">
        <v>941</v>
      </c>
    </row>
    <row r="45" spans="1:8" hidden="1" x14ac:dyDescent="0.25">
      <c r="A45">
        <v>46</v>
      </c>
      <c r="B45">
        <v>5</v>
      </c>
      <c r="C45" t="s">
        <v>107</v>
      </c>
      <c r="D45" t="s">
        <v>621</v>
      </c>
      <c r="E45">
        <v>1.54E-2</v>
      </c>
      <c r="F45" t="s">
        <v>61</v>
      </c>
      <c r="G45" t="s">
        <v>108</v>
      </c>
      <c r="H45" t="s">
        <v>941</v>
      </c>
    </row>
    <row r="46" spans="1:8" hidden="1" x14ac:dyDescent="0.25">
      <c r="A46">
        <v>47</v>
      </c>
      <c r="B46">
        <v>5</v>
      </c>
      <c r="C46" t="s">
        <v>109</v>
      </c>
      <c r="D46" t="s">
        <v>622</v>
      </c>
      <c r="E46">
        <v>1.02E-7</v>
      </c>
      <c r="F46" t="s">
        <v>61</v>
      </c>
      <c r="G46" t="s">
        <v>110</v>
      </c>
      <c r="H46" t="s">
        <v>941</v>
      </c>
    </row>
    <row r="47" spans="1:8" hidden="1" x14ac:dyDescent="0.25">
      <c r="A47">
        <v>48</v>
      </c>
      <c r="B47">
        <v>5</v>
      </c>
      <c r="C47" t="s">
        <v>105</v>
      </c>
      <c r="D47" t="s">
        <v>620</v>
      </c>
      <c r="E47">
        <v>1.7600000000000001E-5</v>
      </c>
      <c r="F47" t="s">
        <v>61</v>
      </c>
      <c r="G47" t="s">
        <v>106</v>
      </c>
      <c r="H47" t="s">
        <v>941</v>
      </c>
    </row>
    <row r="48" spans="1:8" hidden="1" x14ac:dyDescent="0.25">
      <c r="A48">
        <v>49</v>
      </c>
      <c r="B48">
        <v>5</v>
      </c>
      <c r="C48" t="s">
        <v>122</v>
      </c>
      <c r="D48" t="s">
        <v>628</v>
      </c>
      <c r="E48">
        <v>4.62E-3</v>
      </c>
      <c r="F48" t="s">
        <v>26</v>
      </c>
      <c r="G48" t="s">
        <v>123</v>
      </c>
      <c r="H48" t="s">
        <v>941</v>
      </c>
    </row>
    <row r="49" spans="1:8" hidden="1" x14ac:dyDescent="0.25">
      <c r="A49">
        <v>50</v>
      </c>
      <c r="B49">
        <v>5</v>
      </c>
      <c r="C49" t="s">
        <v>97</v>
      </c>
      <c r="D49" t="s">
        <v>616</v>
      </c>
      <c r="E49">
        <v>7.5199999999999998E-3</v>
      </c>
      <c r="F49" t="s">
        <v>61</v>
      </c>
      <c r="G49" t="s">
        <v>98</v>
      </c>
      <c r="H49" t="s">
        <v>941</v>
      </c>
    </row>
    <row r="50" spans="1:8" hidden="1" x14ac:dyDescent="0.25">
      <c r="A50">
        <v>51</v>
      </c>
      <c r="B50">
        <v>5</v>
      </c>
      <c r="C50" t="s">
        <v>99</v>
      </c>
      <c r="D50" t="s">
        <v>617</v>
      </c>
      <c r="E50">
        <v>6.2299999999999995E-8</v>
      </c>
      <c r="F50" t="s">
        <v>61</v>
      </c>
      <c r="G50" t="s">
        <v>100</v>
      </c>
      <c r="H50" t="s">
        <v>941</v>
      </c>
    </row>
    <row r="51" spans="1:8" hidden="1" x14ac:dyDescent="0.25">
      <c r="A51">
        <v>52</v>
      </c>
      <c r="B51">
        <v>5</v>
      </c>
      <c r="C51" t="s">
        <v>101</v>
      </c>
      <c r="D51" t="s">
        <v>618</v>
      </c>
      <c r="E51">
        <v>2.2E-13</v>
      </c>
      <c r="F51" t="s">
        <v>61</v>
      </c>
      <c r="G51" t="s">
        <v>102</v>
      </c>
      <c r="H51" t="s">
        <v>941</v>
      </c>
    </row>
    <row r="52" spans="1:8" hidden="1" x14ac:dyDescent="0.25">
      <c r="A52">
        <v>53</v>
      </c>
      <c r="B52">
        <v>5</v>
      </c>
      <c r="C52" t="s">
        <v>103</v>
      </c>
      <c r="D52" t="s">
        <v>619</v>
      </c>
      <c r="E52">
        <v>1.7600000000000001E-5</v>
      </c>
      <c r="F52" t="s">
        <v>61</v>
      </c>
      <c r="G52" t="s">
        <v>104</v>
      </c>
      <c r="H52" t="s">
        <v>941</v>
      </c>
    </row>
    <row r="53" spans="1:8" hidden="1" x14ac:dyDescent="0.25">
      <c r="A53">
        <v>54</v>
      </c>
      <c r="B53">
        <v>5</v>
      </c>
      <c r="C53" t="s">
        <v>111</v>
      </c>
      <c r="D53" t="s">
        <v>623</v>
      </c>
      <c r="E53">
        <v>82</v>
      </c>
      <c r="F53" t="s">
        <v>112</v>
      </c>
      <c r="G53" t="s">
        <v>113</v>
      </c>
      <c r="H53" t="s">
        <v>941</v>
      </c>
    </row>
    <row r="54" spans="1:8" hidden="1" x14ac:dyDescent="0.25">
      <c r="A54">
        <v>55</v>
      </c>
      <c r="B54">
        <v>5</v>
      </c>
      <c r="C54" t="s">
        <v>114</v>
      </c>
      <c r="D54" t="s">
        <v>624</v>
      </c>
      <c r="E54">
        <v>17</v>
      </c>
      <c r="F54" t="s">
        <v>112</v>
      </c>
      <c r="G54" t="s">
        <v>115</v>
      </c>
      <c r="H54" t="s">
        <v>941</v>
      </c>
    </row>
    <row r="55" spans="1:8" hidden="1" x14ac:dyDescent="0.25">
      <c r="A55">
        <v>56</v>
      </c>
      <c r="B55">
        <v>5</v>
      </c>
      <c r="C55" t="s">
        <v>118</v>
      </c>
      <c r="D55" t="s">
        <v>626</v>
      </c>
      <c r="E55">
        <v>1</v>
      </c>
      <c r="F55" t="s">
        <v>38</v>
      </c>
      <c r="G55" t="s">
        <v>119</v>
      </c>
      <c r="H55" t="s">
        <v>941</v>
      </c>
    </row>
    <row r="56" spans="1:8" hidden="1" x14ac:dyDescent="0.25">
      <c r="A56">
        <v>57</v>
      </c>
      <c r="B56">
        <v>5</v>
      </c>
      <c r="C56" t="s">
        <v>120</v>
      </c>
      <c r="D56" t="s">
        <v>627</v>
      </c>
      <c r="E56">
        <v>1</v>
      </c>
      <c r="F56" t="s">
        <v>38</v>
      </c>
      <c r="G56" t="s">
        <v>121</v>
      </c>
      <c r="H56" t="s">
        <v>941</v>
      </c>
    </row>
    <row r="57" spans="1:8" hidden="1" x14ac:dyDescent="0.25">
      <c r="A57">
        <v>58</v>
      </c>
      <c r="B57">
        <v>6</v>
      </c>
      <c r="C57" t="s">
        <v>836</v>
      </c>
      <c r="D57" t="s">
        <v>136</v>
      </c>
      <c r="E57">
        <v>1</v>
      </c>
      <c r="G57" t="s">
        <v>137</v>
      </c>
      <c r="H57" t="s">
        <v>224</v>
      </c>
    </row>
    <row r="58" spans="1:8" hidden="1" x14ac:dyDescent="0.25">
      <c r="A58">
        <v>59</v>
      </c>
      <c r="B58">
        <v>6</v>
      </c>
      <c r="C58" t="s">
        <v>837</v>
      </c>
      <c r="D58" t="s">
        <v>138</v>
      </c>
      <c r="E58">
        <v>1</v>
      </c>
      <c r="G58" t="s">
        <v>139</v>
      </c>
      <c r="H58" t="s">
        <v>224</v>
      </c>
    </row>
    <row r="59" spans="1:8" hidden="1" x14ac:dyDescent="0.25">
      <c r="A59">
        <v>60</v>
      </c>
      <c r="B59">
        <v>6</v>
      </c>
      <c r="C59" t="s">
        <v>838</v>
      </c>
      <c r="D59" t="s">
        <v>140</v>
      </c>
      <c r="E59">
        <v>0</v>
      </c>
      <c r="G59" t="s">
        <v>141</v>
      </c>
      <c r="H59" t="s">
        <v>224</v>
      </c>
    </row>
    <row r="60" spans="1:8" hidden="1" x14ac:dyDescent="0.25">
      <c r="A60">
        <v>61</v>
      </c>
      <c r="B60">
        <v>6</v>
      </c>
      <c r="C60" t="s">
        <v>839</v>
      </c>
      <c r="D60" t="s">
        <v>868</v>
      </c>
      <c r="E60">
        <v>0</v>
      </c>
      <c r="G60" t="s">
        <v>143</v>
      </c>
      <c r="H60" t="s">
        <v>224</v>
      </c>
    </row>
    <row r="61" spans="1:8" hidden="1" x14ac:dyDescent="0.25">
      <c r="A61">
        <v>62</v>
      </c>
      <c r="B61">
        <v>6</v>
      </c>
      <c r="C61" t="s">
        <v>840</v>
      </c>
      <c r="D61" t="s">
        <v>869</v>
      </c>
      <c r="E61">
        <v>0</v>
      </c>
      <c r="G61" t="s">
        <v>145</v>
      </c>
      <c r="H61" t="s">
        <v>224</v>
      </c>
    </row>
    <row r="62" spans="1:8" hidden="1" x14ac:dyDescent="0.25">
      <c r="A62">
        <v>63</v>
      </c>
      <c r="B62">
        <v>6</v>
      </c>
      <c r="C62" t="s">
        <v>841</v>
      </c>
      <c r="D62" t="s">
        <v>870</v>
      </c>
      <c r="E62">
        <v>0</v>
      </c>
      <c r="G62" t="s">
        <v>147</v>
      </c>
      <c r="H62" t="s">
        <v>224</v>
      </c>
    </row>
    <row r="63" spans="1:8" hidden="1" x14ac:dyDescent="0.25">
      <c r="A63">
        <v>64</v>
      </c>
      <c r="B63">
        <v>6</v>
      </c>
      <c r="C63" t="s">
        <v>842</v>
      </c>
      <c r="D63" t="s">
        <v>148</v>
      </c>
      <c r="E63">
        <v>0</v>
      </c>
      <c r="G63" t="s">
        <v>149</v>
      </c>
      <c r="H63" t="s">
        <v>224</v>
      </c>
    </row>
    <row r="64" spans="1:8" hidden="1" x14ac:dyDescent="0.25">
      <c r="A64">
        <v>65</v>
      </c>
      <c r="B64">
        <v>6</v>
      </c>
      <c r="C64" t="s">
        <v>843</v>
      </c>
      <c r="D64" t="s">
        <v>150</v>
      </c>
      <c r="E64">
        <v>0</v>
      </c>
      <c r="G64" t="s">
        <v>151</v>
      </c>
      <c r="H64" t="s">
        <v>224</v>
      </c>
    </row>
    <row r="65" spans="1:8" hidden="1" x14ac:dyDescent="0.25">
      <c r="A65">
        <v>66</v>
      </c>
      <c r="B65">
        <v>6</v>
      </c>
      <c r="C65" t="s">
        <v>844</v>
      </c>
      <c r="D65" t="s">
        <v>152</v>
      </c>
      <c r="E65">
        <v>0</v>
      </c>
      <c r="G65" t="s">
        <v>153</v>
      </c>
      <c r="H65" t="s">
        <v>224</v>
      </c>
    </row>
    <row r="66" spans="1:8" hidden="1" x14ac:dyDescent="0.25">
      <c r="A66">
        <v>67</v>
      </c>
      <c r="B66">
        <v>6</v>
      </c>
      <c r="C66" t="s">
        <v>845</v>
      </c>
      <c r="D66" t="s">
        <v>154</v>
      </c>
      <c r="E66">
        <v>0</v>
      </c>
      <c r="G66" t="s">
        <v>155</v>
      </c>
      <c r="H66" t="s">
        <v>224</v>
      </c>
    </row>
    <row r="67" spans="1:8" hidden="1" x14ac:dyDescent="0.25">
      <c r="A67">
        <v>68</v>
      </c>
      <c r="B67">
        <v>6</v>
      </c>
      <c r="C67" t="s">
        <v>846</v>
      </c>
      <c r="D67" t="s">
        <v>156</v>
      </c>
      <c r="E67">
        <v>0</v>
      </c>
      <c r="G67" t="s">
        <v>157</v>
      </c>
      <c r="H67" t="s">
        <v>224</v>
      </c>
    </row>
    <row r="68" spans="1:8" hidden="1" x14ac:dyDescent="0.25">
      <c r="A68">
        <v>69</v>
      </c>
      <c r="B68">
        <v>6</v>
      </c>
      <c r="C68" t="s">
        <v>847</v>
      </c>
      <c r="D68" t="s">
        <v>158</v>
      </c>
      <c r="E68">
        <v>0</v>
      </c>
      <c r="G68" t="s">
        <v>159</v>
      </c>
      <c r="H68" t="s">
        <v>224</v>
      </c>
    </row>
    <row r="69" spans="1:8" hidden="1" x14ac:dyDescent="0.25">
      <c r="A69">
        <v>70</v>
      </c>
      <c r="B69">
        <v>6</v>
      </c>
      <c r="C69" t="s">
        <v>848</v>
      </c>
      <c r="D69" t="s">
        <v>160</v>
      </c>
      <c r="E69">
        <v>0</v>
      </c>
      <c r="G69" t="s">
        <v>161</v>
      </c>
      <c r="H69" t="s">
        <v>224</v>
      </c>
    </row>
    <row r="70" spans="1:8" hidden="1" x14ac:dyDescent="0.25">
      <c r="A70">
        <v>71</v>
      </c>
      <c r="B70">
        <v>6</v>
      </c>
      <c r="C70" t="s">
        <v>849</v>
      </c>
      <c r="D70" t="s">
        <v>635</v>
      </c>
      <c r="E70">
        <v>0</v>
      </c>
      <c r="G70" t="s">
        <v>163</v>
      </c>
      <c r="H70" t="s">
        <v>224</v>
      </c>
    </row>
    <row r="71" spans="1:8" hidden="1" x14ac:dyDescent="0.25">
      <c r="A71">
        <v>72</v>
      </c>
      <c r="B71">
        <v>6</v>
      </c>
      <c r="C71" t="s">
        <v>850</v>
      </c>
      <c r="D71" t="s">
        <v>636</v>
      </c>
      <c r="E71">
        <v>0</v>
      </c>
      <c r="G71" t="s">
        <v>165</v>
      </c>
      <c r="H71" t="s">
        <v>224</v>
      </c>
    </row>
    <row r="72" spans="1:8" hidden="1" x14ac:dyDescent="0.25">
      <c r="A72">
        <v>73</v>
      </c>
      <c r="B72">
        <v>6</v>
      </c>
      <c r="C72" t="s">
        <v>851</v>
      </c>
      <c r="D72" t="s">
        <v>637</v>
      </c>
      <c r="E72">
        <v>0</v>
      </c>
      <c r="G72" t="s">
        <v>167</v>
      </c>
      <c r="H72" t="s">
        <v>224</v>
      </c>
    </row>
    <row r="73" spans="1:8" hidden="1" x14ac:dyDescent="0.25">
      <c r="A73">
        <v>74</v>
      </c>
      <c r="B73">
        <v>6</v>
      </c>
      <c r="C73" t="s">
        <v>852</v>
      </c>
      <c r="D73" t="s">
        <v>638</v>
      </c>
      <c r="E73">
        <v>0</v>
      </c>
      <c r="G73" t="s">
        <v>169</v>
      </c>
      <c r="H73" t="s">
        <v>224</v>
      </c>
    </row>
    <row r="74" spans="1:8" hidden="1" x14ac:dyDescent="0.25">
      <c r="A74">
        <v>75</v>
      </c>
      <c r="B74">
        <v>6</v>
      </c>
      <c r="C74" t="s">
        <v>853</v>
      </c>
      <c r="D74" t="s">
        <v>639</v>
      </c>
      <c r="E74">
        <v>0</v>
      </c>
      <c r="G74" t="s">
        <v>171</v>
      </c>
      <c r="H74" t="s">
        <v>224</v>
      </c>
    </row>
    <row r="75" spans="1:8" hidden="1" x14ac:dyDescent="0.25">
      <c r="A75">
        <v>76</v>
      </c>
      <c r="B75">
        <v>6</v>
      </c>
      <c r="C75" t="s">
        <v>854</v>
      </c>
      <c r="D75" t="s">
        <v>640</v>
      </c>
      <c r="E75">
        <v>0</v>
      </c>
      <c r="G75" t="s">
        <v>173</v>
      </c>
      <c r="H75" t="s">
        <v>224</v>
      </c>
    </row>
    <row r="76" spans="1:8" hidden="1" x14ac:dyDescent="0.25">
      <c r="A76">
        <v>77</v>
      </c>
      <c r="B76">
        <v>6</v>
      </c>
      <c r="C76" t="s">
        <v>855</v>
      </c>
      <c r="D76" t="s">
        <v>641</v>
      </c>
      <c r="E76">
        <v>0</v>
      </c>
      <c r="G76" t="s">
        <v>175</v>
      </c>
      <c r="H76" t="s">
        <v>224</v>
      </c>
    </row>
    <row r="77" spans="1:8" hidden="1" x14ac:dyDescent="0.25">
      <c r="A77">
        <v>78</v>
      </c>
      <c r="B77">
        <v>6</v>
      </c>
      <c r="C77" t="s">
        <v>856</v>
      </c>
      <c r="D77" t="s">
        <v>642</v>
      </c>
      <c r="E77">
        <v>0</v>
      </c>
      <c r="G77" t="s">
        <v>177</v>
      </c>
      <c r="H77" t="s">
        <v>224</v>
      </c>
    </row>
    <row r="78" spans="1:8" hidden="1" x14ac:dyDescent="0.25">
      <c r="A78">
        <v>79</v>
      </c>
      <c r="B78">
        <v>6</v>
      </c>
      <c r="C78" t="s">
        <v>893</v>
      </c>
      <c r="D78" t="s">
        <v>884</v>
      </c>
      <c r="E78">
        <v>1</v>
      </c>
      <c r="G78" t="s">
        <v>897</v>
      </c>
      <c r="H78" t="s">
        <v>224</v>
      </c>
    </row>
    <row r="79" spans="1:8" hidden="1" x14ac:dyDescent="0.25">
      <c r="A79">
        <v>80</v>
      </c>
      <c r="B79">
        <v>6</v>
      </c>
      <c r="C79" t="s">
        <v>894</v>
      </c>
      <c r="D79" t="s">
        <v>885</v>
      </c>
      <c r="E79">
        <v>1</v>
      </c>
      <c r="G79" t="s">
        <v>898</v>
      </c>
      <c r="H79" t="s">
        <v>224</v>
      </c>
    </row>
    <row r="80" spans="1:8" hidden="1" x14ac:dyDescent="0.25">
      <c r="A80">
        <v>81</v>
      </c>
      <c r="B80">
        <v>6</v>
      </c>
      <c r="C80" t="s">
        <v>895</v>
      </c>
      <c r="D80" t="s">
        <v>886</v>
      </c>
      <c r="E80">
        <v>1</v>
      </c>
      <c r="G80" t="s">
        <v>899</v>
      </c>
      <c r="H80" t="s">
        <v>224</v>
      </c>
    </row>
    <row r="81" spans="1:8" hidden="1" x14ac:dyDescent="0.25">
      <c r="A81">
        <v>82</v>
      </c>
      <c r="B81">
        <v>6</v>
      </c>
      <c r="C81" t="s">
        <v>896</v>
      </c>
      <c r="D81" t="s">
        <v>887</v>
      </c>
      <c r="E81">
        <v>1</v>
      </c>
      <c r="G81" t="s">
        <v>900</v>
      </c>
      <c r="H81" t="s">
        <v>224</v>
      </c>
    </row>
    <row r="82" spans="1:8" hidden="1" x14ac:dyDescent="0.25">
      <c r="A82">
        <v>83</v>
      </c>
      <c r="B82">
        <v>7</v>
      </c>
      <c r="C82" t="s">
        <v>178</v>
      </c>
      <c r="D82" t="s">
        <v>643</v>
      </c>
      <c r="E82">
        <v>0</v>
      </c>
      <c r="G82" t="s">
        <v>179</v>
      </c>
      <c r="H82" t="s">
        <v>223</v>
      </c>
    </row>
    <row r="83" spans="1:8" hidden="1" x14ac:dyDescent="0.25">
      <c r="A83">
        <v>84</v>
      </c>
      <c r="B83">
        <v>7</v>
      </c>
      <c r="C83" t="s">
        <v>180</v>
      </c>
      <c r="D83" t="s">
        <v>644</v>
      </c>
      <c r="E83">
        <v>10000</v>
      </c>
      <c r="G83" t="s">
        <v>181</v>
      </c>
      <c r="H83" t="s">
        <v>223</v>
      </c>
    </row>
    <row r="84" spans="1:8" hidden="1" x14ac:dyDescent="0.25">
      <c r="A84">
        <v>85</v>
      </c>
      <c r="B84">
        <v>7</v>
      </c>
      <c r="C84" t="s">
        <v>182</v>
      </c>
      <c r="D84" t="s">
        <v>645</v>
      </c>
      <c r="E84">
        <v>1</v>
      </c>
      <c r="G84" t="s">
        <v>183</v>
      </c>
      <c r="H84" t="s">
        <v>223</v>
      </c>
    </row>
    <row r="85" spans="1:8" hidden="1" x14ac:dyDescent="0.25">
      <c r="A85">
        <v>86</v>
      </c>
      <c r="B85">
        <v>7</v>
      </c>
      <c r="C85" t="s">
        <v>184</v>
      </c>
      <c r="D85" t="s">
        <v>646</v>
      </c>
      <c r="E85">
        <v>-1</v>
      </c>
      <c r="G85" t="s">
        <v>185</v>
      </c>
      <c r="H85" t="s">
        <v>223</v>
      </c>
    </row>
    <row r="86" spans="1:8" hidden="1" x14ac:dyDescent="0.25">
      <c r="A86">
        <v>87</v>
      </c>
      <c r="B86">
        <v>7</v>
      </c>
      <c r="C86" t="s">
        <v>186</v>
      </c>
      <c r="D86" t="s">
        <v>647</v>
      </c>
      <c r="E86">
        <v>0.1</v>
      </c>
      <c r="G86" t="s">
        <v>187</v>
      </c>
      <c r="H86" t="s">
        <v>223</v>
      </c>
    </row>
    <row r="87" spans="1:8" hidden="1" x14ac:dyDescent="0.25">
      <c r="A87">
        <v>88</v>
      </c>
      <c r="B87">
        <v>7</v>
      </c>
      <c r="C87" t="s">
        <v>188</v>
      </c>
      <c r="D87" t="s">
        <v>648</v>
      </c>
      <c r="E87">
        <v>8</v>
      </c>
      <c r="G87" t="s">
        <v>189</v>
      </c>
      <c r="H87" t="s">
        <v>223</v>
      </c>
    </row>
    <row r="88" spans="1:8" hidden="1" x14ac:dyDescent="0.25">
      <c r="A88">
        <v>89</v>
      </c>
      <c r="B88">
        <v>7</v>
      </c>
      <c r="C88" t="s">
        <v>190</v>
      </c>
      <c r="D88" t="s">
        <v>649</v>
      </c>
      <c r="E88">
        <v>0.01</v>
      </c>
      <c r="G88" t="s">
        <v>191</v>
      </c>
      <c r="H88" t="s">
        <v>223</v>
      </c>
    </row>
    <row r="89" spans="1:8" hidden="1" x14ac:dyDescent="0.25">
      <c r="A89">
        <v>90</v>
      </c>
      <c r="B89">
        <v>7</v>
      </c>
      <c r="C89" t="s">
        <v>192</v>
      </c>
      <c r="D89" t="s">
        <v>650</v>
      </c>
      <c r="E89">
        <v>10</v>
      </c>
      <c r="G89" t="s">
        <v>191</v>
      </c>
      <c r="H89" t="s">
        <v>223</v>
      </c>
    </row>
    <row r="90" spans="1:8" hidden="1" x14ac:dyDescent="0.25">
      <c r="A90">
        <v>91</v>
      </c>
      <c r="B90">
        <v>7</v>
      </c>
      <c r="C90" t="s">
        <v>193</v>
      </c>
      <c r="D90" t="s">
        <v>651</v>
      </c>
      <c r="E90">
        <v>1000</v>
      </c>
      <c r="G90" t="s">
        <v>194</v>
      </c>
      <c r="H90" t="s">
        <v>223</v>
      </c>
    </row>
    <row r="91" spans="1:8" hidden="1" x14ac:dyDescent="0.25">
      <c r="A91">
        <v>92</v>
      </c>
      <c r="B91">
        <v>7</v>
      </c>
      <c r="C91" t="s">
        <v>195</v>
      </c>
      <c r="D91" t="s">
        <v>652</v>
      </c>
      <c r="E91">
        <v>10</v>
      </c>
      <c r="G91" t="s">
        <v>196</v>
      </c>
      <c r="H91" t="s">
        <v>223</v>
      </c>
    </row>
    <row r="92" spans="1:8" hidden="1" x14ac:dyDescent="0.25">
      <c r="A92">
        <v>93</v>
      </c>
      <c r="B92">
        <v>7</v>
      </c>
      <c r="C92" t="s">
        <v>197</v>
      </c>
      <c r="D92" t="s">
        <v>653</v>
      </c>
      <c r="E92">
        <v>1.4999999999999999E-2</v>
      </c>
      <c r="G92" t="s">
        <v>198</v>
      </c>
      <c r="H92" t="s">
        <v>223</v>
      </c>
    </row>
    <row r="93" spans="1:8" hidden="1" x14ac:dyDescent="0.25">
      <c r="A93">
        <v>94</v>
      </c>
      <c r="B93">
        <v>7</v>
      </c>
      <c r="C93" t="s">
        <v>199</v>
      </c>
      <c r="D93" t="s">
        <v>654</v>
      </c>
      <c r="E93">
        <v>-15</v>
      </c>
      <c r="G93" t="s">
        <v>200</v>
      </c>
      <c r="H93" t="s">
        <v>223</v>
      </c>
    </row>
    <row r="94" spans="1:8" hidden="1" x14ac:dyDescent="0.25">
      <c r="A94">
        <v>95</v>
      </c>
      <c r="B94">
        <v>7</v>
      </c>
      <c r="C94" t="s">
        <v>201</v>
      </c>
      <c r="D94" t="s">
        <v>655</v>
      </c>
      <c r="E94">
        <v>-2</v>
      </c>
      <c r="G94" t="s">
        <v>202</v>
      </c>
      <c r="H94" t="s">
        <v>223</v>
      </c>
    </row>
    <row r="95" spans="1:8" hidden="1" x14ac:dyDescent="0.25">
      <c r="A95">
        <v>96</v>
      </c>
      <c r="B95">
        <v>7</v>
      </c>
      <c r="C95" t="s">
        <v>203</v>
      </c>
      <c r="D95" t="s">
        <v>656</v>
      </c>
      <c r="E95">
        <v>-8.9999999999999993E-3</v>
      </c>
      <c r="G95" t="s">
        <v>204</v>
      </c>
      <c r="H95" t="s">
        <v>223</v>
      </c>
    </row>
    <row r="96" spans="1:8" hidden="1" x14ac:dyDescent="0.25">
      <c r="A96">
        <v>97</v>
      </c>
      <c r="B96">
        <v>7</v>
      </c>
      <c r="C96" t="s">
        <v>205</v>
      </c>
      <c r="D96" t="s">
        <v>657</v>
      </c>
      <c r="E96">
        <v>3.0000000000000001E-3</v>
      </c>
      <c r="G96" t="s">
        <v>206</v>
      </c>
      <c r="H96" t="s">
        <v>223</v>
      </c>
    </row>
    <row r="97" spans="1:8" hidden="1" x14ac:dyDescent="0.25">
      <c r="A97">
        <v>98</v>
      </c>
      <c r="B97">
        <v>7</v>
      </c>
      <c r="C97" t="s">
        <v>207</v>
      </c>
      <c r="D97" t="s">
        <v>658</v>
      </c>
      <c r="E97">
        <v>20</v>
      </c>
      <c r="G97" t="s">
        <v>208</v>
      </c>
      <c r="H97" t="s">
        <v>223</v>
      </c>
    </row>
    <row r="98" spans="1:8" hidden="1" x14ac:dyDescent="0.25">
      <c r="A98">
        <v>99</v>
      </c>
      <c r="B98">
        <v>7</v>
      </c>
      <c r="C98" t="s">
        <v>209</v>
      </c>
      <c r="D98" t="s">
        <v>659</v>
      </c>
      <c r="E98">
        <v>1.8800000000000001E-2</v>
      </c>
      <c r="G98" t="s">
        <v>210</v>
      </c>
      <c r="H98" t="s">
        <v>223</v>
      </c>
    </row>
    <row r="99" spans="1:8" hidden="1" x14ac:dyDescent="0.25">
      <c r="A99">
        <v>100</v>
      </c>
      <c r="B99">
        <v>7</v>
      </c>
      <c r="C99" t="s">
        <v>211</v>
      </c>
      <c r="D99" t="s">
        <v>660</v>
      </c>
      <c r="E99">
        <v>3.0000000000000001E-3</v>
      </c>
      <c r="G99" t="s">
        <v>212</v>
      </c>
      <c r="H99" t="s">
        <v>223</v>
      </c>
    </row>
    <row r="100" spans="1:8" hidden="1" x14ac:dyDescent="0.25">
      <c r="A100">
        <v>101</v>
      </c>
      <c r="B100">
        <v>7</v>
      </c>
      <c r="C100" t="s">
        <v>213</v>
      </c>
      <c r="D100" t="s">
        <v>661</v>
      </c>
      <c r="E100">
        <v>0.4</v>
      </c>
      <c r="G100" t="s">
        <v>214</v>
      </c>
      <c r="H100" t="s">
        <v>223</v>
      </c>
    </row>
    <row r="101" spans="1:8" hidden="1" x14ac:dyDescent="0.25">
      <c r="A101">
        <v>102</v>
      </c>
      <c r="B101">
        <v>7</v>
      </c>
      <c r="C101" t="s">
        <v>215</v>
      </c>
      <c r="D101" t="s">
        <v>662</v>
      </c>
      <c r="E101">
        <v>5.0000000000000001E-4</v>
      </c>
      <c r="G101" t="s">
        <v>216</v>
      </c>
      <c r="H101" t="s">
        <v>223</v>
      </c>
    </row>
    <row r="102" spans="1:8" hidden="1" x14ac:dyDescent="0.25">
      <c r="A102">
        <v>103</v>
      </c>
      <c r="B102">
        <v>7</v>
      </c>
      <c r="C102" t="s">
        <v>217</v>
      </c>
      <c r="D102" t="s">
        <v>663</v>
      </c>
      <c r="E102">
        <v>0.3</v>
      </c>
      <c r="G102" t="s">
        <v>218</v>
      </c>
      <c r="H102" t="s">
        <v>223</v>
      </c>
    </row>
    <row r="103" spans="1:8" hidden="1" x14ac:dyDescent="0.25">
      <c r="A103">
        <v>104</v>
      </c>
      <c r="B103">
        <v>7</v>
      </c>
      <c r="C103" t="s">
        <v>219</v>
      </c>
      <c r="D103" t="s">
        <v>664</v>
      </c>
      <c r="E103">
        <v>10</v>
      </c>
      <c r="G103" t="s">
        <v>220</v>
      </c>
      <c r="H103" t="s">
        <v>223</v>
      </c>
    </row>
    <row r="104" spans="1:8" hidden="1" x14ac:dyDescent="0.25">
      <c r="A104">
        <v>105</v>
      </c>
      <c r="B104">
        <v>7</v>
      </c>
      <c r="C104" t="s">
        <v>221</v>
      </c>
      <c r="D104" t="s">
        <v>665</v>
      </c>
      <c r="E104">
        <v>1</v>
      </c>
      <c r="G104" t="s">
        <v>222</v>
      </c>
      <c r="H104" t="s">
        <v>223</v>
      </c>
    </row>
    <row r="105" spans="1:8" hidden="1" x14ac:dyDescent="0.25">
      <c r="A105">
        <v>106</v>
      </c>
      <c r="B105">
        <v>8</v>
      </c>
      <c r="C105" t="s">
        <v>228</v>
      </c>
      <c r="D105" t="s">
        <v>799</v>
      </c>
      <c r="E105">
        <v>0.2094</v>
      </c>
      <c r="F105" t="s">
        <v>26</v>
      </c>
      <c r="G105" t="s">
        <v>229</v>
      </c>
      <c r="H105" t="s">
        <v>944</v>
      </c>
    </row>
    <row r="106" spans="1:8" hidden="1" x14ac:dyDescent="0.25">
      <c r="A106">
        <v>107</v>
      </c>
      <c r="B106">
        <v>8</v>
      </c>
      <c r="C106" t="s">
        <v>230</v>
      </c>
      <c r="D106" t="s">
        <v>800</v>
      </c>
      <c r="E106">
        <v>2.9999999999999997E-4</v>
      </c>
      <c r="F106" t="s">
        <v>26</v>
      </c>
      <c r="G106" t="s">
        <v>231</v>
      </c>
      <c r="H106" t="s">
        <v>944</v>
      </c>
    </row>
    <row r="107" spans="1:8" hidden="1" x14ac:dyDescent="0.25">
      <c r="A107">
        <v>108</v>
      </c>
      <c r="B107">
        <v>8</v>
      </c>
      <c r="C107" t="s">
        <v>232</v>
      </c>
      <c r="D107" t="s">
        <v>802</v>
      </c>
      <c r="E107">
        <v>1448000</v>
      </c>
      <c r="F107" t="s">
        <v>233</v>
      </c>
      <c r="G107" t="s">
        <v>234</v>
      </c>
      <c r="H107" t="s">
        <v>944</v>
      </c>
    </row>
    <row r="108" spans="1:8" hidden="1" x14ac:dyDescent="0.25">
      <c r="A108">
        <v>109</v>
      </c>
      <c r="B108">
        <v>8</v>
      </c>
      <c r="C108" t="s">
        <v>235</v>
      </c>
      <c r="D108" t="s">
        <v>803</v>
      </c>
      <c r="E108">
        <v>1440000</v>
      </c>
      <c r="F108" t="s">
        <v>233</v>
      </c>
      <c r="G108" t="s">
        <v>236</v>
      </c>
      <c r="H108" t="s">
        <v>944</v>
      </c>
    </row>
    <row r="109" spans="1:8" hidden="1" x14ac:dyDescent="0.25">
      <c r="A109">
        <v>110</v>
      </c>
      <c r="B109">
        <v>8</v>
      </c>
      <c r="C109" t="s">
        <v>237</v>
      </c>
      <c r="D109" t="s">
        <v>804</v>
      </c>
      <c r="E109">
        <v>30010</v>
      </c>
      <c r="F109" t="s">
        <v>233</v>
      </c>
      <c r="G109" t="s">
        <v>238</v>
      </c>
      <c r="H109" t="s">
        <v>944</v>
      </c>
    </row>
    <row r="110" spans="1:8" hidden="1" x14ac:dyDescent="0.25">
      <c r="A110">
        <v>111</v>
      </c>
      <c r="B110">
        <v>8</v>
      </c>
      <c r="C110" t="s">
        <v>239</v>
      </c>
      <c r="D110" t="s">
        <v>805</v>
      </c>
      <c r="E110">
        <v>30010</v>
      </c>
      <c r="F110" t="s">
        <v>233</v>
      </c>
      <c r="G110" t="s">
        <v>240</v>
      </c>
      <c r="H110" t="s">
        <v>944</v>
      </c>
    </row>
    <row r="111" spans="1:8" hidden="1" x14ac:dyDescent="0.25">
      <c r="A111">
        <v>112</v>
      </c>
      <c r="B111">
        <v>8</v>
      </c>
      <c r="C111" t="s">
        <v>241</v>
      </c>
      <c r="D111" t="s">
        <v>806</v>
      </c>
      <c r="E111">
        <v>22.411999999999999</v>
      </c>
      <c r="F111" t="s">
        <v>242</v>
      </c>
      <c r="G111" t="s">
        <v>243</v>
      </c>
      <c r="H111" t="s">
        <v>944</v>
      </c>
    </row>
    <row r="112" spans="1:8" hidden="1" x14ac:dyDescent="0.25">
      <c r="A112">
        <v>113</v>
      </c>
      <c r="B112">
        <v>8</v>
      </c>
      <c r="C112" t="s">
        <v>244</v>
      </c>
      <c r="D112" t="s">
        <v>807</v>
      </c>
      <c r="E112">
        <v>32</v>
      </c>
      <c r="F112" t="s">
        <v>112</v>
      </c>
      <c r="G112" t="s">
        <v>245</v>
      </c>
      <c r="H112" t="s">
        <v>944</v>
      </c>
    </row>
    <row r="113" spans="1:8" hidden="1" x14ac:dyDescent="0.25">
      <c r="A113">
        <v>114</v>
      </c>
      <c r="B113">
        <v>8</v>
      </c>
      <c r="C113" t="s">
        <v>246</v>
      </c>
      <c r="D113" t="s">
        <v>808</v>
      </c>
      <c r="E113">
        <v>44</v>
      </c>
      <c r="F113" t="s">
        <v>112</v>
      </c>
      <c r="G113" t="s">
        <v>247</v>
      </c>
      <c r="H113" t="s">
        <v>944</v>
      </c>
    </row>
    <row r="114" spans="1:8" hidden="1" x14ac:dyDescent="0.25">
      <c r="A114">
        <v>115</v>
      </c>
      <c r="B114">
        <v>8</v>
      </c>
      <c r="C114" t="s">
        <v>248</v>
      </c>
      <c r="D114" t="s">
        <v>809</v>
      </c>
      <c r="E114">
        <v>273.14999999999998</v>
      </c>
      <c r="F114" t="s">
        <v>249</v>
      </c>
      <c r="G114" t="s">
        <v>250</v>
      </c>
      <c r="H114" t="s">
        <v>944</v>
      </c>
    </row>
    <row r="115" spans="1:8" hidden="1" x14ac:dyDescent="0.25">
      <c r="A115">
        <v>116</v>
      </c>
      <c r="B115">
        <v>8</v>
      </c>
      <c r="C115" t="s">
        <v>251</v>
      </c>
      <c r="D115" t="s">
        <v>810</v>
      </c>
      <c r="E115">
        <v>101330</v>
      </c>
      <c r="F115" t="s">
        <v>252</v>
      </c>
      <c r="G115" t="s">
        <v>253</v>
      </c>
      <c r="H115" t="s">
        <v>944</v>
      </c>
    </row>
    <row r="116" spans="1:8" hidden="1" x14ac:dyDescent="0.25">
      <c r="A116">
        <v>117</v>
      </c>
      <c r="B116">
        <v>8</v>
      </c>
      <c r="C116" t="s">
        <v>254</v>
      </c>
      <c r="D116" t="s">
        <v>254</v>
      </c>
      <c r="E116">
        <v>8314</v>
      </c>
      <c r="F116" t="s">
        <v>255</v>
      </c>
      <c r="G116" t="s">
        <v>256</v>
      </c>
      <c r="H116" t="s">
        <v>944</v>
      </c>
    </row>
    <row r="117" spans="1:8" hidden="1" x14ac:dyDescent="0.25">
      <c r="A117">
        <v>118</v>
      </c>
      <c r="B117">
        <v>8</v>
      </c>
      <c r="C117" t="s">
        <v>257</v>
      </c>
      <c r="D117" t="s">
        <v>811</v>
      </c>
      <c r="E117">
        <v>-2.7230000000000001E-2</v>
      </c>
      <c r="F117" t="s">
        <v>258</v>
      </c>
      <c r="G117" t="s">
        <v>259</v>
      </c>
      <c r="H117" t="s">
        <v>944</v>
      </c>
    </row>
    <row r="118" spans="1:8" hidden="1" x14ac:dyDescent="0.25">
      <c r="A118">
        <v>119</v>
      </c>
      <c r="B118">
        <v>8</v>
      </c>
      <c r="C118" t="s">
        <v>260</v>
      </c>
      <c r="D118" t="s">
        <v>812</v>
      </c>
      <c r="E118">
        <v>5.6269999999999996E-4</v>
      </c>
      <c r="F118" t="s">
        <v>261</v>
      </c>
      <c r="G118" t="s">
        <v>259</v>
      </c>
      <c r="H118" t="s">
        <v>944</v>
      </c>
    </row>
    <row r="119" spans="1:8" hidden="1" x14ac:dyDescent="0.25">
      <c r="A119">
        <v>120</v>
      </c>
      <c r="B119">
        <v>8</v>
      </c>
      <c r="C119" t="s">
        <v>262</v>
      </c>
      <c r="D119" t="s">
        <v>813</v>
      </c>
      <c r="E119">
        <v>-6.5969999999999997E-6</v>
      </c>
      <c r="F119" t="s">
        <v>263</v>
      </c>
      <c r="G119" t="s">
        <v>259</v>
      </c>
      <c r="H119" t="s">
        <v>944</v>
      </c>
    </row>
    <row r="120" spans="1:8" hidden="1" x14ac:dyDescent="0.25">
      <c r="A120">
        <v>121</v>
      </c>
      <c r="B120">
        <v>8</v>
      </c>
      <c r="C120" t="s">
        <v>264</v>
      </c>
      <c r="D120" t="s">
        <v>814</v>
      </c>
      <c r="E120">
        <v>3.2800000000000003E-8</v>
      </c>
      <c r="F120" t="s">
        <v>265</v>
      </c>
      <c r="G120" t="s">
        <v>259</v>
      </c>
      <c r="H120" t="s">
        <v>944</v>
      </c>
    </row>
    <row r="121" spans="1:8" hidden="1" x14ac:dyDescent="0.25">
      <c r="A121">
        <v>122</v>
      </c>
      <c r="B121">
        <v>8</v>
      </c>
      <c r="C121" t="s">
        <v>266</v>
      </c>
      <c r="D121" t="s">
        <v>815</v>
      </c>
      <c r="E121">
        <v>-3.8890000000000001E-2</v>
      </c>
      <c r="F121" t="s">
        <v>258</v>
      </c>
      <c r="G121" t="s">
        <v>267</v>
      </c>
      <c r="H121" t="s">
        <v>944</v>
      </c>
    </row>
    <row r="122" spans="1:8" hidden="1" x14ac:dyDescent="0.25">
      <c r="A122">
        <v>123</v>
      </c>
      <c r="B122">
        <v>8</v>
      </c>
      <c r="C122" t="s">
        <v>268</v>
      </c>
      <c r="D122" t="s">
        <v>816</v>
      </c>
      <c r="E122">
        <v>9.4419999999999997E-4</v>
      </c>
      <c r="F122" t="s">
        <v>261</v>
      </c>
      <c r="G122" t="s">
        <v>267</v>
      </c>
      <c r="H122" t="s">
        <v>944</v>
      </c>
    </row>
    <row r="123" spans="1:8" hidden="1" x14ac:dyDescent="0.25">
      <c r="A123">
        <v>124</v>
      </c>
      <c r="B123">
        <v>8</v>
      </c>
      <c r="C123" t="s">
        <v>269</v>
      </c>
      <c r="D123" t="s">
        <v>817</v>
      </c>
      <c r="E123">
        <v>-1.328E-5</v>
      </c>
      <c r="F123" t="s">
        <v>263</v>
      </c>
      <c r="G123" t="s">
        <v>267</v>
      </c>
      <c r="H123" t="s">
        <v>944</v>
      </c>
    </row>
    <row r="124" spans="1:8" hidden="1" x14ac:dyDescent="0.25">
      <c r="A124">
        <v>125</v>
      </c>
      <c r="B124">
        <v>8</v>
      </c>
      <c r="C124" t="s">
        <v>270</v>
      </c>
      <c r="D124" t="s">
        <v>818</v>
      </c>
      <c r="E124">
        <v>8.1100000000000005E-8</v>
      </c>
      <c r="F124" t="s">
        <v>265</v>
      </c>
      <c r="G124" t="s">
        <v>267</v>
      </c>
      <c r="H124" t="s">
        <v>944</v>
      </c>
    </row>
    <row r="125" spans="1:8" hidden="1" x14ac:dyDescent="0.25">
      <c r="A125">
        <v>126</v>
      </c>
      <c r="B125">
        <v>8</v>
      </c>
      <c r="C125" t="s">
        <v>271</v>
      </c>
      <c r="D125" t="s">
        <v>819</v>
      </c>
      <c r="E125">
        <v>9.9999999999999995E-8</v>
      </c>
      <c r="F125" t="s">
        <v>61</v>
      </c>
      <c r="G125" t="s">
        <v>272</v>
      </c>
      <c r="H125" t="s">
        <v>944</v>
      </c>
    </row>
    <row r="126" spans="1:8" hidden="1" x14ac:dyDescent="0.25">
      <c r="A126">
        <v>127</v>
      </c>
      <c r="B126">
        <v>8</v>
      </c>
      <c r="C126" t="s">
        <v>273</v>
      </c>
      <c r="D126" t="s">
        <v>820</v>
      </c>
      <c r="E126">
        <v>1.167</v>
      </c>
      <c r="F126" t="s">
        <v>274</v>
      </c>
      <c r="G126" t="s">
        <v>275</v>
      </c>
      <c r="H126" t="s">
        <v>944</v>
      </c>
    </row>
    <row r="127" spans="1:8" hidden="1" x14ac:dyDescent="0.25">
      <c r="A127">
        <v>128</v>
      </c>
      <c r="B127">
        <v>8</v>
      </c>
      <c r="C127" t="s">
        <v>276</v>
      </c>
      <c r="D127" t="s">
        <v>823</v>
      </c>
      <c r="E127">
        <v>2170</v>
      </c>
      <c r="F127" t="s">
        <v>277</v>
      </c>
      <c r="G127" t="s">
        <v>278</v>
      </c>
      <c r="H127" t="s">
        <v>944</v>
      </c>
    </row>
    <row r="128" spans="1:8" hidden="1" x14ac:dyDescent="0.25">
      <c r="A128">
        <v>129</v>
      </c>
      <c r="B128">
        <v>8</v>
      </c>
      <c r="C128" t="s">
        <v>950</v>
      </c>
      <c r="D128" t="s">
        <v>949</v>
      </c>
      <c r="E128">
        <v>1.0020000000000001E-3</v>
      </c>
      <c r="F128" t="s">
        <v>280</v>
      </c>
      <c r="G128" t="s">
        <v>281</v>
      </c>
      <c r="H128" t="s">
        <v>944</v>
      </c>
    </row>
    <row r="129" spans="1:8" hidden="1" x14ac:dyDescent="0.25">
      <c r="A129">
        <v>130</v>
      </c>
      <c r="B129">
        <v>8</v>
      </c>
      <c r="C129" t="s">
        <v>951</v>
      </c>
      <c r="D129" t="s">
        <v>952</v>
      </c>
      <c r="E129">
        <v>1E-3</v>
      </c>
      <c r="F129" t="s">
        <v>280</v>
      </c>
      <c r="G129" t="s">
        <v>283</v>
      </c>
      <c r="H129" t="s">
        <v>944</v>
      </c>
    </row>
    <row r="130" spans="1:8" hidden="1" x14ac:dyDescent="0.25">
      <c r="A130">
        <v>131</v>
      </c>
      <c r="B130">
        <v>8</v>
      </c>
      <c r="C130" t="s">
        <v>284</v>
      </c>
      <c r="D130" t="s">
        <v>871</v>
      </c>
      <c r="E130">
        <v>100</v>
      </c>
      <c r="F130" t="s">
        <v>41</v>
      </c>
      <c r="G130" t="s">
        <v>285</v>
      </c>
      <c r="H130" t="s">
        <v>944</v>
      </c>
    </row>
    <row r="131" spans="1:8" hidden="1" x14ac:dyDescent="0.25">
      <c r="A131">
        <v>132</v>
      </c>
      <c r="B131">
        <v>8</v>
      </c>
      <c r="C131" t="s">
        <v>286</v>
      </c>
      <c r="D131" t="s">
        <v>801</v>
      </c>
      <c r="E131">
        <v>1500</v>
      </c>
      <c r="F131" t="s">
        <v>287</v>
      </c>
      <c r="G131" t="s">
        <v>288</v>
      </c>
      <c r="H131" t="s">
        <v>944</v>
      </c>
    </row>
    <row r="132" spans="1:8" hidden="1" x14ac:dyDescent="0.25">
      <c r="A132">
        <v>133</v>
      </c>
      <c r="B132">
        <v>8</v>
      </c>
      <c r="C132" t="s">
        <v>289</v>
      </c>
      <c r="D132" t="s">
        <v>821</v>
      </c>
      <c r="E132">
        <v>4.3099999999999998E-7</v>
      </c>
      <c r="F132" t="s">
        <v>61</v>
      </c>
      <c r="G132" t="s">
        <v>290</v>
      </c>
      <c r="H132" t="s">
        <v>944</v>
      </c>
    </row>
    <row r="133" spans="1:8" hidden="1" x14ac:dyDescent="0.25">
      <c r="A133">
        <v>134</v>
      </c>
      <c r="B133">
        <v>8</v>
      </c>
      <c r="C133" t="s">
        <v>291</v>
      </c>
      <c r="D133" t="s">
        <v>822</v>
      </c>
      <c r="E133">
        <v>5.6099999999999999E-11</v>
      </c>
      <c r="F133" t="s">
        <v>61</v>
      </c>
      <c r="G133" t="s">
        <v>292</v>
      </c>
      <c r="H133" t="s">
        <v>944</v>
      </c>
    </row>
    <row r="134" spans="1:8" hidden="1" x14ac:dyDescent="0.25">
      <c r="A134">
        <v>135</v>
      </c>
      <c r="B134">
        <v>8</v>
      </c>
      <c r="C134" t="s">
        <v>293</v>
      </c>
      <c r="D134" t="s">
        <v>872</v>
      </c>
      <c r="E134">
        <v>0.5</v>
      </c>
      <c r="F134" t="s">
        <v>26</v>
      </c>
      <c r="G134" t="s">
        <v>294</v>
      </c>
      <c r="H134" t="s">
        <v>944</v>
      </c>
    </row>
    <row r="135" spans="1:8" hidden="1" x14ac:dyDescent="0.25">
      <c r="A135">
        <v>136</v>
      </c>
      <c r="B135">
        <v>8</v>
      </c>
      <c r="C135" t="s">
        <v>295</v>
      </c>
      <c r="D135" t="s">
        <v>873</v>
      </c>
      <c r="E135">
        <v>0.5</v>
      </c>
      <c r="F135" t="s">
        <v>26</v>
      </c>
      <c r="G135" t="s">
        <v>294</v>
      </c>
      <c r="H135" t="s">
        <v>944</v>
      </c>
    </row>
    <row r="136" spans="1:8" hidden="1" x14ac:dyDescent="0.25">
      <c r="A136">
        <v>137</v>
      </c>
      <c r="B136">
        <v>8</v>
      </c>
      <c r="C136" t="s">
        <v>296</v>
      </c>
      <c r="D136" t="s">
        <v>874</v>
      </c>
      <c r="E136">
        <v>-0.05</v>
      </c>
      <c r="F136" t="s">
        <v>26</v>
      </c>
      <c r="G136" t="s">
        <v>294</v>
      </c>
      <c r="H136" t="s">
        <v>944</v>
      </c>
    </row>
    <row r="137" spans="1:8" hidden="1" x14ac:dyDescent="0.25">
      <c r="A137">
        <v>138</v>
      </c>
      <c r="B137">
        <v>9</v>
      </c>
      <c r="C137" t="s">
        <v>427</v>
      </c>
      <c r="D137" t="s">
        <v>760</v>
      </c>
      <c r="E137">
        <v>0.46</v>
      </c>
      <c r="F137" t="s">
        <v>326</v>
      </c>
      <c r="G137" t="s">
        <v>428</v>
      </c>
      <c r="H137" t="s">
        <v>945</v>
      </c>
    </row>
    <row r="138" spans="1:8" hidden="1" x14ac:dyDescent="0.25">
      <c r="A138">
        <v>139</v>
      </c>
      <c r="B138">
        <v>9</v>
      </c>
      <c r="C138" t="s">
        <v>429</v>
      </c>
      <c r="D138" t="s">
        <v>761</v>
      </c>
      <c r="E138">
        <v>0.35</v>
      </c>
      <c r="F138" t="s">
        <v>326</v>
      </c>
      <c r="G138" t="s">
        <v>430</v>
      </c>
      <c r="H138" t="s">
        <v>945</v>
      </c>
    </row>
    <row r="139" spans="1:8" hidden="1" x14ac:dyDescent="0.25">
      <c r="A139">
        <v>140</v>
      </c>
      <c r="B139">
        <v>9</v>
      </c>
      <c r="C139" t="s">
        <v>431</v>
      </c>
      <c r="D139" t="s">
        <v>762</v>
      </c>
      <c r="E139">
        <v>0.1</v>
      </c>
      <c r="F139" t="s">
        <v>326</v>
      </c>
      <c r="G139" t="s">
        <v>432</v>
      </c>
      <c r="H139" t="s">
        <v>945</v>
      </c>
    </row>
    <row r="140" spans="1:8" hidden="1" x14ac:dyDescent="0.25">
      <c r="A140">
        <v>141</v>
      </c>
      <c r="B140">
        <v>9</v>
      </c>
      <c r="C140" t="s">
        <v>433</v>
      </c>
      <c r="D140" t="s">
        <v>763</v>
      </c>
      <c r="E140">
        <v>5.0000000000000001E-3</v>
      </c>
      <c r="F140" t="s">
        <v>326</v>
      </c>
      <c r="G140" t="s">
        <v>434</v>
      </c>
      <c r="H140" t="s">
        <v>945</v>
      </c>
    </row>
    <row r="141" spans="1:8" hidden="1" x14ac:dyDescent="0.25">
      <c r="A141">
        <v>142</v>
      </c>
      <c r="B141">
        <v>9</v>
      </c>
      <c r="C141" t="s">
        <v>435</v>
      </c>
      <c r="D141" t="s">
        <v>768</v>
      </c>
      <c r="E141">
        <v>0.06</v>
      </c>
      <c r="F141" t="s">
        <v>326</v>
      </c>
      <c r="G141" t="s">
        <v>436</v>
      </c>
      <c r="H141" t="s">
        <v>945</v>
      </c>
    </row>
    <row r="142" spans="1:8" hidden="1" x14ac:dyDescent="0.25">
      <c r="A142">
        <v>143</v>
      </c>
      <c r="B142">
        <v>9</v>
      </c>
      <c r="C142" t="s">
        <v>437</v>
      </c>
      <c r="D142" t="s">
        <v>771</v>
      </c>
      <c r="E142">
        <v>0.04</v>
      </c>
      <c r="F142" t="s">
        <v>41</v>
      </c>
      <c r="G142" t="s">
        <v>438</v>
      </c>
      <c r="H142" t="s">
        <v>945</v>
      </c>
    </row>
    <row r="143" spans="1:8" hidden="1" x14ac:dyDescent="0.25">
      <c r="A143">
        <v>144</v>
      </c>
      <c r="B143">
        <v>9</v>
      </c>
      <c r="C143" t="s">
        <v>439</v>
      </c>
      <c r="D143" t="s">
        <v>772</v>
      </c>
      <c r="E143">
        <v>0.05</v>
      </c>
      <c r="F143" t="s">
        <v>41</v>
      </c>
      <c r="G143" t="s">
        <v>440</v>
      </c>
      <c r="H143" t="s">
        <v>945</v>
      </c>
    </row>
    <row r="144" spans="1:8" hidden="1" x14ac:dyDescent="0.25">
      <c r="A144">
        <v>145</v>
      </c>
      <c r="B144">
        <v>9</v>
      </c>
      <c r="C144" t="s">
        <v>441</v>
      </c>
      <c r="D144" t="s">
        <v>773</v>
      </c>
      <c r="E144">
        <v>0.06</v>
      </c>
      <c r="F144" t="s">
        <v>41</v>
      </c>
      <c r="G144" t="s">
        <v>442</v>
      </c>
      <c r="H144" t="s">
        <v>945</v>
      </c>
    </row>
    <row r="145" spans="1:8" hidden="1" x14ac:dyDescent="0.25">
      <c r="A145">
        <v>146</v>
      </c>
      <c r="B145">
        <v>9</v>
      </c>
      <c r="C145" t="s">
        <v>443</v>
      </c>
      <c r="D145" t="s">
        <v>774</v>
      </c>
      <c r="E145">
        <v>1.8E-3</v>
      </c>
      <c r="F145" t="s">
        <v>41</v>
      </c>
      <c r="G145" t="s">
        <v>444</v>
      </c>
      <c r="H145" t="s">
        <v>945</v>
      </c>
    </row>
    <row r="146" spans="1:8" hidden="1" x14ac:dyDescent="0.25">
      <c r="A146">
        <v>147</v>
      </c>
      <c r="B146">
        <v>9</v>
      </c>
      <c r="C146" t="s">
        <v>445</v>
      </c>
      <c r="D146" t="s">
        <v>775</v>
      </c>
      <c r="E146">
        <v>1.8E-3</v>
      </c>
      <c r="F146" t="s">
        <v>41</v>
      </c>
      <c r="G146" t="s">
        <v>446</v>
      </c>
      <c r="H146" t="s">
        <v>945</v>
      </c>
    </row>
    <row r="147" spans="1:8" hidden="1" x14ac:dyDescent="0.25">
      <c r="A147">
        <v>148</v>
      </c>
      <c r="B147">
        <v>9</v>
      </c>
      <c r="C147" t="s">
        <v>447</v>
      </c>
      <c r="D147" t="s">
        <v>776</v>
      </c>
      <c r="E147">
        <v>3.0000000000000001E-3</v>
      </c>
      <c r="F147" t="s">
        <v>41</v>
      </c>
      <c r="G147" t="s">
        <v>448</v>
      </c>
      <c r="H147" t="s">
        <v>945</v>
      </c>
    </row>
    <row r="148" spans="1:8" hidden="1" x14ac:dyDescent="0.25">
      <c r="A148">
        <v>149</v>
      </c>
      <c r="B148">
        <v>9</v>
      </c>
      <c r="C148" t="s">
        <v>449</v>
      </c>
      <c r="D148" t="s">
        <v>777</v>
      </c>
      <c r="E148">
        <v>5.0000000000000001E-4</v>
      </c>
      <c r="F148" t="s">
        <v>41</v>
      </c>
      <c r="G148" t="s">
        <v>450</v>
      </c>
      <c r="H148" t="s">
        <v>945</v>
      </c>
    </row>
    <row r="149" spans="1:8" hidden="1" x14ac:dyDescent="0.25">
      <c r="A149">
        <v>150</v>
      </c>
      <c r="B149">
        <v>9</v>
      </c>
      <c r="C149" t="s">
        <v>451</v>
      </c>
      <c r="D149" t="s">
        <v>778</v>
      </c>
      <c r="E149">
        <v>4.0000000000000002E-4</v>
      </c>
      <c r="F149" t="s">
        <v>41</v>
      </c>
      <c r="G149" t="s">
        <v>452</v>
      </c>
      <c r="H149" t="s">
        <v>945</v>
      </c>
    </row>
    <row r="150" spans="1:8" hidden="1" x14ac:dyDescent="0.25">
      <c r="A150">
        <v>151</v>
      </c>
      <c r="B150">
        <v>9</v>
      </c>
      <c r="C150" t="s">
        <v>453</v>
      </c>
      <c r="D150" t="s">
        <v>764</v>
      </c>
      <c r="E150">
        <v>0.55300000000000005</v>
      </c>
      <c r="F150" t="s">
        <v>26</v>
      </c>
      <c r="G150" t="s">
        <v>454</v>
      </c>
      <c r="H150" t="s">
        <v>945</v>
      </c>
    </row>
    <row r="151" spans="1:8" hidden="1" x14ac:dyDescent="0.25">
      <c r="A151">
        <v>152</v>
      </c>
      <c r="B151">
        <v>9</v>
      </c>
      <c r="C151" t="s">
        <v>455</v>
      </c>
      <c r="D151" t="s">
        <v>765</v>
      </c>
      <c r="E151">
        <v>0.4</v>
      </c>
      <c r="F151" t="s">
        <v>26</v>
      </c>
      <c r="G151" t="s">
        <v>456</v>
      </c>
      <c r="H151" t="s">
        <v>945</v>
      </c>
    </row>
    <row r="152" spans="1:8" hidden="1" x14ac:dyDescent="0.25">
      <c r="A152">
        <v>153</v>
      </c>
      <c r="B152">
        <v>9</v>
      </c>
      <c r="C152" t="s">
        <v>457</v>
      </c>
      <c r="D152" t="s">
        <v>766</v>
      </c>
      <c r="E152">
        <v>0.2</v>
      </c>
      <c r="F152" t="s">
        <v>26</v>
      </c>
      <c r="G152" t="s">
        <v>458</v>
      </c>
      <c r="H152" t="s">
        <v>945</v>
      </c>
    </row>
    <row r="153" spans="1:8" hidden="1" x14ac:dyDescent="0.25">
      <c r="A153">
        <v>154</v>
      </c>
      <c r="B153">
        <v>9</v>
      </c>
      <c r="C153" t="s">
        <v>459</v>
      </c>
      <c r="D153" t="s">
        <v>767</v>
      </c>
      <c r="E153">
        <v>1.367</v>
      </c>
      <c r="F153" t="s">
        <v>26</v>
      </c>
      <c r="G153" t="s">
        <v>460</v>
      </c>
      <c r="H153" t="s">
        <v>945</v>
      </c>
    </row>
    <row r="154" spans="1:8" hidden="1" x14ac:dyDescent="0.25">
      <c r="A154">
        <v>155</v>
      </c>
      <c r="B154">
        <v>9</v>
      </c>
      <c r="C154" t="s">
        <v>461</v>
      </c>
      <c r="D154" t="s">
        <v>779</v>
      </c>
      <c r="E154">
        <v>0.2</v>
      </c>
      <c r="F154" t="s">
        <v>26</v>
      </c>
      <c r="G154" t="s">
        <v>462</v>
      </c>
      <c r="H154" t="s">
        <v>945</v>
      </c>
    </row>
    <row r="155" spans="1:8" hidden="1" x14ac:dyDescent="0.25">
      <c r="A155">
        <v>156</v>
      </c>
      <c r="B155">
        <v>9</v>
      </c>
      <c r="C155" t="s">
        <v>463</v>
      </c>
      <c r="D155" t="s">
        <v>780</v>
      </c>
      <c r="E155">
        <v>0.1</v>
      </c>
      <c r="F155" t="s">
        <v>26</v>
      </c>
      <c r="G155" t="s">
        <v>464</v>
      </c>
      <c r="H155" t="s">
        <v>945</v>
      </c>
    </row>
    <row r="156" spans="1:8" hidden="1" x14ac:dyDescent="0.25">
      <c r="A156">
        <v>157</v>
      </c>
      <c r="B156">
        <v>9</v>
      </c>
      <c r="C156" t="s">
        <v>465</v>
      </c>
      <c r="D156" t="s">
        <v>781</v>
      </c>
      <c r="E156">
        <v>1</v>
      </c>
      <c r="F156" t="s">
        <v>26</v>
      </c>
      <c r="G156" t="s">
        <v>466</v>
      </c>
      <c r="H156" t="s">
        <v>945</v>
      </c>
    </row>
    <row r="157" spans="1:8" hidden="1" x14ac:dyDescent="0.25">
      <c r="A157">
        <v>158</v>
      </c>
      <c r="B157">
        <v>9</v>
      </c>
      <c r="C157" t="s">
        <v>116</v>
      </c>
      <c r="D157" t="s">
        <v>625</v>
      </c>
      <c r="E157">
        <v>60</v>
      </c>
      <c r="F157" t="s">
        <v>112</v>
      </c>
      <c r="G157" t="s">
        <v>117</v>
      </c>
      <c r="H157" t="s">
        <v>945</v>
      </c>
    </row>
    <row r="158" spans="1:8" hidden="1" x14ac:dyDescent="0.25">
      <c r="A158">
        <v>159</v>
      </c>
      <c r="B158">
        <v>9</v>
      </c>
      <c r="C158" t="s">
        <v>467</v>
      </c>
      <c r="D158" t="s">
        <v>769</v>
      </c>
      <c r="E158">
        <v>0.185</v>
      </c>
      <c r="F158" t="s">
        <v>26</v>
      </c>
      <c r="G158" t="s">
        <v>468</v>
      </c>
      <c r="H158" t="s">
        <v>945</v>
      </c>
    </row>
    <row r="159" spans="1:8" hidden="1" x14ac:dyDescent="0.25">
      <c r="A159">
        <v>160</v>
      </c>
      <c r="B159">
        <v>9</v>
      </c>
      <c r="C159" t="s">
        <v>469</v>
      </c>
      <c r="D159" t="s">
        <v>770</v>
      </c>
      <c r="E159">
        <v>0</v>
      </c>
      <c r="F159" t="s">
        <v>26</v>
      </c>
      <c r="G159" t="s">
        <v>470</v>
      </c>
      <c r="H159" t="s">
        <v>945</v>
      </c>
    </row>
    <row r="160" spans="1:8" hidden="1" x14ac:dyDescent="0.25">
      <c r="A160">
        <v>161</v>
      </c>
      <c r="B160">
        <v>9</v>
      </c>
      <c r="C160" t="s">
        <v>471</v>
      </c>
      <c r="D160" t="s">
        <v>782</v>
      </c>
      <c r="E160">
        <v>1.375</v>
      </c>
      <c r="F160" t="s">
        <v>26</v>
      </c>
      <c r="G160" t="s">
        <v>472</v>
      </c>
      <c r="H160" t="s">
        <v>945</v>
      </c>
    </row>
    <row r="161" spans="1:8" hidden="1" x14ac:dyDescent="0.25">
      <c r="A161">
        <v>162</v>
      </c>
      <c r="B161">
        <v>9</v>
      </c>
      <c r="C161" t="s">
        <v>473</v>
      </c>
      <c r="D161" t="s">
        <v>785</v>
      </c>
      <c r="E161">
        <v>0.69</v>
      </c>
      <c r="F161" t="s">
        <v>26</v>
      </c>
      <c r="G161" t="s">
        <v>474</v>
      </c>
      <c r="H161" t="s">
        <v>945</v>
      </c>
    </row>
    <row r="162" spans="1:8" hidden="1" x14ac:dyDescent="0.25">
      <c r="A162">
        <v>163</v>
      </c>
      <c r="B162">
        <v>9</v>
      </c>
      <c r="C162" t="s">
        <v>475</v>
      </c>
      <c r="D162" t="s">
        <v>783</v>
      </c>
      <c r="E162">
        <v>0.21920999999999999</v>
      </c>
      <c r="F162" t="s">
        <v>26</v>
      </c>
      <c r="G162" t="s">
        <v>476</v>
      </c>
      <c r="H162" t="s">
        <v>945</v>
      </c>
    </row>
    <row r="163" spans="1:8" hidden="1" x14ac:dyDescent="0.25">
      <c r="A163">
        <v>164</v>
      </c>
      <c r="B163">
        <v>9</v>
      </c>
      <c r="C163" t="s">
        <v>477</v>
      </c>
      <c r="D163" t="s">
        <v>784</v>
      </c>
      <c r="E163">
        <v>0.40600999999999998</v>
      </c>
      <c r="F163" t="s">
        <v>26</v>
      </c>
      <c r="G163" t="s">
        <v>478</v>
      </c>
      <c r="H163" t="s">
        <v>945</v>
      </c>
    </row>
    <row r="164" spans="1:8" hidden="1" x14ac:dyDescent="0.25">
      <c r="A164">
        <v>165</v>
      </c>
      <c r="B164">
        <v>10</v>
      </c>
      <c r="C164" t="s">
        <v>479</v>
      </c>
      <c r="D164" t="s">
        <v>786</v>
      </c>
      <c r="E164">
        <v>5</v>
      </c>
      <c r="F164" t="s">
        <v>29</v>
      </c>
      <c r="G164" t="s">
        <v>480</v>
      </c>
      <c r="H164" t="s">
        <v>946</v>
      </c>
    </row>
    <row r="165" spans="1:8" hidden="1" x14ac:dyDescent="0.25">
      <c r="A165">
        <v>166</v>
      </c>
      <c r="B165">
        <v>10</v>
      </c>
      <c r="C165" t="s">
        <v>481</v>
      </c>
      <c r="D165" t="s">
        <v>787</v>
      </c>
      <c r="E165">
        <v>47</v>
      </c>
      <c r="F165" t="s">
        <v>29</v>
      </c>
      <c r="G165" t="s">
        <v>482</v>
      </c>
      <c r="H165" t="s">
        <v>946</v>
      </c>
    </row>
    <row r="166" spans="1:8" hidden="1" x14ac:dyDescent="0.25">
      <c r="A166">
        <v>167</v>
      </c>
      <c r="B166">
        <v>10</v>
      </c>
      <c r="C166" t="s">
        <v>483</v>
      </c>
      <c r="D166" t="s">
        <v>788</v>
      </c>
      <c r="E166">
        <v>35</v>
      </c>
      <c r="F166" t="s">
        <v>29</v>
      </c>
      <c r="G166" t="s">
        <v>484</v>
      </c>
      <c r="H166" t="s">
        <v>946</v>
      </c>
    </row>
    <row r="167" spans="1:8" hidden="1" x14ac:dyDescent="0.25">
      <c r="A167">
        <v>168</v>
      </c>
      <c r="B167">
        <v>10</v>
      </c>
      <c r="C167" t="s">
        <v>485</v>
      </c>
      <c r="D167" t="s">
        <v>789</v>
      </c>
      <c r="E167">
        <v>32</v>
      </c>
      <c r="F167" t="s">
        <v>29</v>
      </c>
      <c r="G167" t="s">
        <v>486</v>
      </c>
      <c r="H167" t="s">
        <v>946</v>
      </c>
    </row>
    <row r="168" spans="1:8" hidden="1" x14ac:dyDescent="0.25">
      <c r="A168">
        <v>169</v>
      </c>
      <c r="B168">
        <v>11</v>
      </c>
      <c r="C168" t="s">
        <v>487</v>
      </c>
      <c r="D168" t="s">
        <v>790</v>
      </c>
      <c r="E168">
        <v>0.1</v>
      </c>
      <c r="F168" t="s">
        <v>488</v>
      </c>
      <c r="G168" t="s">
        <v>489</v>
      </c>
      <c r="H168" t="s">
        <v>953</v>
      </c>
    </row>
    <row r="169" spans="1:8" hidden="1" x14ac:dyDescent="0.25">
      <c r="A169">
        <v>170</v>
      </c>
      <c r="B169">
        <v>11</v>
      </c>
      <c r="C169" t="s">
        <v>490</v>
      </c>
      <c r="D169" t="s">
        <v>791</v>
      </c>
      <c r="E169">
        <v>1.2500000000000001E-2</v>
      </c>
      <c r="F169" t="s">
        <v>35</v>
      </c>
      <c r="G169" t="s">
        <v>491</v>
      </c>
      <c r="H169" t="s">
        <v>953</v>
      </c>
    </row>
    <row r="170" spans="1:8" hidden="1" x14ac:dyDescent="0.25">
      <c r="A170">
        <v>171</v>
      </c>
      <c r="B170">
        <v>11</v>
      </c>
      <c r="C170" t="s">
        <v>492</v>
      </c>
      <c r="D170" t="s">
        <v>792</v>
      </c>
      <c r="E170">
        <v>0.09</v>
      </c>
      <c r="F170" t="s">
        <v>493</v>
      </c>
      <c r="G170" t="s">
        <v>494</v>
      </c>
      <c r="H170" t="s">
        <v>953</v>
      </c>
    </row>
    <row r="171" spans="1:8" hidden="1" x14ac:dyDescent="0.25">
      <c r="A171">
        <v>172</v>
      </c>
      <c r="B171">
        <v>11</v>
      </c>
      <c r="C171" t="s">
        <v>495</v>
      </c>
      <c r="D171" t="s">
        <v>793</v>
      </c>
      <c r="E171">
        <v>4</v>
      </c>
      <c r="F171" t="s">
        <v>496</v>
      </c>
      <c r="G171" t="s">
        <v>497</v>
      </c>
      <c r="H171" t="s">
        <v>953</v>
      </c>
    </row>
    <row r="172" spans="1:8" hidden="1" x14ac:dyDescent="0.25">
      <c r="A172">
        <v>173</v>
      </c>
      <c r="B172">
        <v>11</v>
      </c>
      <c r="C172" t="s">
        <v>498</v>
      </c>
      <c r="D172" t="s">
        <v>794</v>
      </c>
      <c r="E172">
        <v>0.97499999999999998</v>
      </c>
      <c r="F172" t="s">
        <v>26</v>
      </c>
      <c r="G172" t="s">
        <v>499</v>
      </c>
      <c r="H172" t="s">
        <v>953</v>
      </c>
    </row>
    <row r="173" spans="1:8" hidden="1" x14ac:dyDescent="0.25">
      <c r="A173">
        <v>174</v>
      </c>
      <c r="B173">
        <v>11</v>
      </c>
      <c r="C173" t="s">
        <v>500</v>
      </c>
      <c r="D173" t="s">
        <v>795</v>
      </c>
      <c r="E173">
        <v>100</v>
      </c>
      <c r="F173" t="s">
        <v>326</v>
      </c>
      <c r="G173" t="s">
        <v>501</v>
      </c>
      <c r="H173" t="s">
        <v>953</v>
      </c>
    </row>
    <row r="174" spans="1:8" hidden="1" x14ac:dyDescent="0.25">
      <c r="A174">
        <v>175</v>
      </c>
      <c r="B174">
        <v>11</v>
      </c>
      <c r="C174" t="s">
        <v>502</v>
      </c>
      <c r="D174" t="s">
        <v>796</v>
      </c>
      <c r="E174">
        <v>8.3330000000000003E-5</v>
      </c>
      <c r="F174" t="s">
        <v>35</v>
      </c>
      <c r="G174" t="s">
        <v>503</v>
      </c>
      <c r="H174" t="s">
        <v>953</v>
      </c>
    </row>
    <row r="175" spans="1:8" hidden="1" x14ac:dyDescent="0.25">
      <c r="A175">
        <v>176</v>
      </c>
      <c r="B175">
        <v>12</v>
      </c>
      <c r="C175" t="s">
        <v>504</v>
      </c>
      <c r="D175" t="s">
        <v>875</v>
      </c>
      <c r="E175">
        <v>4</v>
      </c>
      <c r="F175" t="s">
        <v>26</v>
      </c>
      <c r="G175" t="s">
        <v>505</v>
      </c>
      <c r="H175" t="s">
        <v>510</v>
      </c>
    </row>
    <row r="176" spans="1:8" hidden="1" x14ac:dyDescent="0.25">
      <c r="A176">
        <v>177</v>
      </c>
      <c r="B176">
        <v>12</v>
      </c>
      <c r="C176" t="s">
        <v>506</v>
      </c>
      <c r="D176" t="s">
        <v>797</v>
      </c>
      <c r="E176">
        <v>9</v>
      </c>
      <c r="F176" t="s">
        <v>26</v>
      </c>
      <c r="G176" t="s">
        <v>507</v>
      </c>
      <c r="H176" t="s">
        <v>510</v>
      </c>
    </row>
    <row r="177" spans="1:8" hidden="1" x14ac:dyDescent="0.25">
      <c r="A177">
        <v>178</v>
      </c>
      <c r="B177">
        <v>12</v>
      </c>
      <c r="C177" t="s">
        <v>508</v>
      </c>
      <c r="D177" t="s">
        <v>798</v>
      </c>
      <c r="E177">
        <v>6.8</v>
      </c>
      <c r="F177" t="s">
        <v>26</v>
      </c>
      <c r="G177" t="s">
        <v>509</v>
      </c>
      <c r="H177" t="s">
        <v>510</v>
      </c>
    </row>
    <row r="178" spans="1:8" x14ac:dyDescent="0.25">
      <c r="A178">
        <v>179</v>
      </c>
      <c r="B178">
        <v>13</v>
      </c>
      <c r="C178" t="s">
        <v>579</v>
      </c>
      <c r="D178" t="s">
        <v>876</v>
      </c>
      <c r="E178">
        <v>5</v>
      </c>
      <c r="F178" t="s">
        <v>38</v>
      </c>
      <c r="G178" t="s">
        <v>890</v>
      </c>
      <c r="H178" t="s">
        <v>947</v>
      </c>
    </row>
    <row r="179" spans="1:8" x14ac:dyDescent="0.25">
      <c r="A179">
        <v>180</v>
      </c>
      <c r="B179">
        <v>13</v>
      </c>
      <c r="C179" t="s">
        <v>857</v>
      </c>
      <c r="D179" t="s">
        <v>877</v>
      </c>
      <c r="E179">
        <v>11</v>
      </c>
      <c r="F179" t="s">
        <v>38</v>
      </c>
      <c r="G179" t="s">
        <v>891</v>
      </c>
      <c r="H179" t="s">
        <v>947</v>
      </c>
    </row>
    <row r="180" spans="1:8" x14ac:dyDescent="0.25">
      <c r="A180">
        <v>181</v>
      </c>
      <c r="B180">
        <v>13</v>
      </c>
      <c r="C180" t="s">
        <v>87</v>
      </c>
      <c r="D180" t="s">
        <v>611</v>
      </c>
      <c r="E180">
        <v>2.5</v>
      </c>
      <c r="F180" t="s">
        <v>21</v>
      </c>
      <c r="G180" t="s">
        <v>88</v>
      </c>
      <c r="H180" t="s">
        <v>947</v>
      </c>
    </row>
    <row r="181" spans="1:8" x14ac:dyDescent="0.25">
      <c r="A181">
        <v>182</v>
      </c>
      <c r="B181">
        <v>13</v>
      </c>
      <c r="C181" t="s">
        <v>89</v>
      </c>
      <c r="D181" t="s">
        <v>612</v>
      </c>
      <c r="E181">
        <v>1469</v>
      </c>
      <c r="F181" t="s">
        <v>10</v>
      </c>
      <c r="G181" t="s">
        <v>90</v>
      </c>
      <c r="H181" t="s">
        <v>947</v>
      </c>
    </row>
    <row r="182" spans="1:8" x14ac:dyDescent="0.25">
      <c r="A182">
        <v>183</v>
      </c>
      <c r="B182">
        <v>14</v>
      </c>
      <c r="C182" t="s">
        <v>299</v>
      </c>
      <c r="D182" t="s">
        <v>705</v>
      </c>
      <c r="E182">
        <v>0.5</v>
      </c>
      <c r="F182" t="s">
        <v>21</v>
      </c>
      <c r="G182" t="s">
        <v>300</v>
      </c>
      <c r="H182" t="s">
        <v>425</v>
      </c>
    </row>
    <row r="183" spans="1:8" x14ac:dyDescent="0.25">
      <c r="A183">
        <v>184</v>
      </c>
      <c r="B183">
        <v>14</v>
      </c>
      <c r="C183" t="s">
        <v>301</v>
      </c>
      <c r="D183" t="s">
        <v>706</v>
      </c>
      <c r="E183">
        <v>20</v>
      </c>
      <c r="F183" t="s">
        <v>10</v>
      </c>
      <c r="G183" t="s">
        <v>302</v>
      </c>
      <c r="H183" t="s">
        <v>425</v>
      </c>
    </row>
    <row r="184" spans="1:8" x14ac:dyDescent="0.25">
      <c r="A184">
        <v>185</v>
      </c>
      <c r="B184">
        <v>14</v>
      </c>
      <c r="C184" t="s">
        <v>303</v>
      </c>
      <c r="D184" t="s">
        <v>707</v>
      </c>
      <c r="E184">
        <v>5</v>
      </c>
      <c r="F184" t="s">
        <v>10</v>
      </c>
      <c r="G184" t="s">
        <v>304</v>
      </c>
      <c r="H184" t="s">
        <v>425</v>
      </c>
    </row>
    <row r="185" spans="1:8" x14ac:dyDescent="0.25">
      <c r="A185">
        <v>186</v>
      </c>
      <c r="B185">
        <v>14</v>
      </c>
      <c r="C185" t="s">
        <v>305</v>
      </c>
      <c r="D185" t="s">
        <v>708</v>
      </c>
      <c r="E185">
        <v>5</v>
      </c>
      <c r="F185" t="s">
        <v>10</v>
      </c>
      <c r="G185" t="s">
        <v>306</v>
      </c>
      <c r="H185" t="s">
        <v>425</v>
      </c>
    </row>
    <row r="186" spans="1:8" x14ac:dyDescent="0.25">
      <c r="A186">
        <v>187</v>
      </c>
      <c r="B186">
        <v>14</v>
      </c>
      <c r="C186" t="s">
        <v>307</v>
      </c>
      <c r="D186" t="s">
        <v>709</v>
      </c>
      <c r="E186">
        <v>2</v>
      </c>
      <c r="F186" t="s">
        <v>10</v>
      </c>
      <c r="G186" t="s">
        <v>308</v>
      </c>
      <c r="H186" t="s">
        <v>425</v>
      </c>
    </row>
    <row r="187" spans="1:8" x14ac:dyDescent="0.25">
      <c r="A187">
        <v>188</v>
      </c>
      <c r="B187">
        <v>14</v>
      </c>
      <c r="C187" t="s">
        <v>309</v>
      </c>
      <c r="D187" t="s">
        <v>710</v>
      </c>
      <c r="E187">
        <v>27</v>
      </c>
      <c r="F187" t="s">
        <v>10</v>
      </c>
      <c r="G187" t="s">
        <v>310</v>
      </c>
      <c r="H187" t="s">
        <v>425</v>
      </c>
    </row>
    <row r="188" spans="1:8" x14ac:dyDescent="0.25">
      <c r="A188">
        <v>189</v>
      </c>
      <c r="B188">
        <v>14</v>
      </c>
      <c r="C188" t="s">
        <v>311</v>
      </c>
      <c r="D188" t="s">
        <v>711</v>
      </c>
      <c r="E188">
        <v>1500</v>
      </c>
      <c r="F188" t="s">
        <v>7</v>
      </c>
      <c r="G188" t="s">
        <v>312</v>
      </c>
      <c r="H188" t="s">
        <v>425</v>
      </c>
    </row>
    <row r="189" spans="1:8" x14ac:dyDescent="0.25">
      <c r="A189">
        <v>190</v>
      </c>
      <c r="B189">
        <v>14</v>
      </c>
      <c r="C189" t="s">
        <v>313</v>
      </c>
      <c r="D189" t="s">
        <v>716</v>
      </c>
      <c r="E189">
        <v>2.5000000000000001E-3</v>
      </c>
      <c r="F189" t="s">
        <v>35</v>
      </c>
      <c r="G189" t="s">
        <v>314</v>
      </c>
      <c r="H189" t="s">
        <v>425</v>
      </c>
    </row>
    <row r="190" spans="1:8" x14ac:dyDescent="0.25">
      <c r="A190">
        <v>191</v>
      </c>
      <c r="B190">
        <v>14</v>
      </c>
      <c r="C190" t="s">
        <v>315</v>
      </c>
      <c r="D190" t="s">
        <v>717</v>
      </c>
      <c r="E190">
        <v>4.1999999999999997E-3</v>
      </c>
      <c r="F190" t="s">
        <v>35</v>
      </c>
      <c r="G190" t="s">
        <v>316</v>
      </c>
      <c r="H190" t="s">
        <v>425</v>
      </c>
    </row>
    <row r="191" spans="1:8" x14ac:dyDescent="0.25">
      <c r="A191">
        <v>192</v>
      </c>
      <c r="B191">
        <v>14</v>
      </c>
      <c r="C191" t="s">
        <v>317</v>
      </c>
      <c r="D191" t="s">
        <v>718</v>
      </c>
      <c r="E191">
        <v>4.1999999999999997E-3</v>
      </c>
      <c r="F191" t="s">
        <v>35</v>
      </c>
      <c r="G191" t="s">
        <v>318</v>
      </c>
      <c r="H191" t="s">
        <v>425</v>
      </c>
    </row>
    <row r="192" spans="1:8" x14ac:dyDescent="0.25">
      <c r="A192">
        <v>193</v>
      </c>
      <c r="B192">
        <v>14</v>
      </c>
      <c r="C192" t="s">
        <v>319</v>
      </c>
      <c r="D192" t="s">
        <v>719</v>
      </c>
      <c r="E192">
        <v>4.1999999999999997E-3</v>
      </c>
      <c r="F192" t="s">
        <v>35</v>
      </c>
      <c r="G192" t="s">
        <v>320</v>
      </c>
      <c r="H192" t="s">
        <v>425</v>
      </c>
    </row>
    <row r="193" spans="1:8" x14ac:dyDescent="0.25">
      <c r="A193">
        <v>194</v>
      </c>
      <c r="B193">
        <v>14</v>
      </c>
      <c r="C193" t="s">
        <v>321</v>
      </c>
      <c r="D193" t="s">
        <v>712</v>
      </c>
      <c r="E193">
        <v>5</v>
      </c>
      <c r="F193" t="s">
        <v>21</v>
      </c>
      <c r="G193" t="s">
        <v>322</v>
      </c>
      <c r="H193" t="s">
        <v>425</v>
      </c>
    </row>
    <row r="194" spans="1:8" x14ac:dyDescent="0.25">
      <c r="A194">
        <v>195</v>
      </c>
      <c r="B194">
        <v>14</v>
      </c>
      <c r="C194" t="s">
        <v>323</v>
      </c>
      <c r="D194" t="s">
        <v>713</v>
      </c>
      <c r="E194">
        <v>0.1</v>
      </c>
      <c r="F194" t="s">
        <v>21</v>
      </c>
      <c r="G194" t="s">
        <v>324</v>
      </c>
      <c r="H194" t="s">
        <v>425</v>
      </c>
    </row>
    <row r="195" spans="1:8" x14ac:dyDescent="0.25">
      <c r="A195">
        <v>196</v>
      </c>
      <c r="B195">
        <v>14</v>
      </c>
      <c r="C195" t="s">
        <v>325</v>
      </c>
      <c r="D195" t="s">
        <v>714</v>
      </c>
      <c r="E195">
        <v>0.5</v>
      </c>
      <c r="F195" t="s">
        <v>326</v>
      </c>
      <c r="G195" t="s">
        <v>327</v>
      </c>
      <c r="H195" t="s">
        <v>425</v>
      </c>
    </row>
    <row r="196" spans="1:8" x14ac:dyDescent="0.25">
      <c r="A196">
        <v>197</v>
      </c>
      <c r="B196">
        <v>14</v>
      </c>
      <c r="C196" t="s">
        <v>328</v>
      </c>
      <c r="D196" t="s">
        <v>715</v>
      </c>
      <c r="E196">
        <v>0.5</v>
      </c>
      <c r="F196" t="s">
        <v>326</v>
      </c>
      <c r="G196" t="s">
        <v>329</v>
      </c>
      <c r="H196" t="s">
        <v>425</v>
      </c>
    </row>
    <row r="197" spans="1:8" x14ac:dyDescent="0.25">
      <c r="A197">
        <v>198</v>
      </c>
      <c r="B197">
        <v>15</v>
      </c>
      <c r="C197" t="s">
        <v>330</v>
      </c>
      <c r="D197" t="s">
        <v>720</v>
      </c>
      <c r="E197">
        <v>5000</v>
      </c>
      <c r="F197" t="s">
        <v>331</v>
      </c>
      <c r="G197" t="s">
        <v>332</v>
      </c>
      <c r="H197" t="s">
        <v>948</v>
      </c>
    </row>
    <row r="198" spans="1:8" x14ac:dyDescent="0.25">
      <c r="A198">
        <v>199</v>
      </c>
      <c r="B198">
        <v>15</v>
      </c>
      <c r="C198" t="s">
        <v>333</v>
      </c>
      <c r="D198" t="s">
        <v>734</v>
      </c>
      <c r="E198">
        <v>1000</v>
      </c>
      <c r="F198" t="s">
        <v>331</v>
      </c>
      <c r="G198" t="s">
        <v>334</v>
      </c>
      <c r="H198" t="s">
        <v>948</v>
      </c>
    </row>
    <row r="199" spans="1:8" x14ac:dyDescent="0.25">
      <c r="A199">
        <v>200</v>
      </c>
      <c r="B199">
        <v>15</v>
      </c>
      <c r="C199" t="s">
        <v>335</v>
      </c>
      <c r="D199" t="s">
        <v>735</v>
      </c>
      <c r="E199">
        <v>1E-3</v>
      </c>
      <c r="F199" t="s">
        <v>336</v>
      </c>
      <c r="G199" t="s">
        <v>337</v>
      </c>
      <c r="H199" t="s">
        <v>948</v>
      </c>
    </row>
    <row r="200" spans="1:8" x14ac:dyDescent="0.25">
      <c r="A200">
        <v>201</v>
      </c>
      <c r="B200">
        <v>15</v>
      </c>
      <c r="C200" t="s">
        <v>858</v>
      </c>
      <c r="D200" t="s">
        <v>878</v>
      </c>
      <c r="E200">
        <v>380</v>
      </c>
      <c r="F200" t="s">
        <v>339</v>
      </c>
      <c r="G200" t="s">
        <v>340</v>
      </c>
      <c r="H200" t="s">
        <v>948</v>
      </c>
    </row>
    <row r="201" spans="1:8" x14ac:dyDescent="0.25">
      <c r="A201">
        <v>202</v>
      </c>
      <c r="B201">
        <v>15</v>
      </c>
      <c r="C201" t="s">
        <v>341</v>
      </c>
      <c r="D201" t="s">
        <v>879</v>
      </c>
      <c r="E201">
        <v>1500</v>
      </c>
      <c r="F201" t="s">
        <v>287</v>
      </c>
      <c r="G201" t="s">
        <v>342</v>
      </c>
      <c r="H201" t="s">
        <v>948</v>
      </c>
    </row>
    <row r="202" spans="1:8" x14ac:dyDescent="0.25">
      <c r="A202">
        <v>203</v>
      </c>
      <c r="B202">
        <v>15</v>
      </c>
      <c r="C202" t="s">
        <v>343</v>
      </c>
      <c r="D202" t="s">
        <v>737</v>
      </c>
      <c r="E202">
        <v>15</v>
      </c>
      <c r="F202" t="s">
        <v>29</v>
      </c>
      <c r="G202" t="s">
        <v>344</v>
      </c>
      <c r="H202" t="s">
        <v>948</v>
      </c>
    </row>
    <row r="203" spans="1:8" x14ac:dyDescent="0.25">
      <c r="A203">
        <v>204</v>
      </c>
      <c r="B203">
        <v>15</v>
      </c>
      <c r="C203" t="s">
        <v>345</v>
      </c>
      <c r="D203" t="s">
        <v>740</v>
      </c>
      <c r="E203">
        <v>1</v>
      </c>
      <c r="F203" t="s">
        <v>1</v>
      </c>
      <c r="G203" t="s">
        <v>346</v>
      </c>
      <c r="H203" t="s">
        <v>948</v>
      </c>
    </row>
    <row r="204" spans="1:8" x14ac:dyDescent="0.25">
      <c r="A204">
        <v>205</v>
      </c>
      <c r="B204">
        <v>15</v>
      </c>
      <c r="C204" t="s">
        <v>347</v>
      </c>
      <c r="D204" t="s">
        <v>721</v>
      </c>
      <c r="E204">
        <v>3700</v>
      </c>
      <c r="F204" t="s">
        <v>348</v>
      </c>
      <c r="G204" t="s">
        <v>349</v>
      </c>
      <c r="H204" t="s">
        <v>948</v>
      </c>
    </row>
    <row r="205" spans="1:8" x14ac:dyDescent="0.25">
      <c r="A205">
        <v>206</v>
      </c>
      <c r="B205">
        <v>15</v>
      </c>
      <c r="C205" t="s">
        <v>350</v>
      </c>
      <c r="D205" t="s">
        <v>749</v>
      </c>
      <c r="E205">
        <v>3.0000000000000001E-3</v>
      </c>
      <c r="F205" t="s">
        <v>336</v>
      </c>
      <c r="G205" t="s">
        <v>351</v>
      </c>
      <c r="H205" t="s">
        <v>948</v>
      </c>
    </row>
    <row r="206" spans="1:8" x14ac:dyDescent="0.25">
      <c r="A206">
        <v>207</v>
      </c>
      <c r="B206">
        <v>15</v>
      </c>
      <c r="C206" t="s">
        <v>859</v>
      </c>
      <c r="D206" t="s">
        <v>880</v>
      </c>
      <c r="E206">
        <v>46</v>
      </c>
      <c r="F206" t="s">
        <v>353</v>
      </c>
      <c r="G206" t="s">
        <v>354</v>
      </c>
      <c r="H206" t="s">
        <v>948</v>
      </c>
    </row>
    <row r="207" spans="1:8" x14ac:dyDescent="0.25">
      <c r="A207">
        <v>208</v>
      </c>
      <c r="B207">
        <v>15</v>
      </c>
      <c r="C207" t="s">
        <v>355</v>
      </c>
      <c r="D207" t="s">
        <v>741</v>
      </c>
      <c r="E207">
        <v>0.5</v>
      </c>
      <c r="F207" t="s">
        <v>356</v>
      </c>
      <c r="G207" t="s">
        <v>357</v>
      </c>
      <c r="H207" t="s">
        <v>948</v>
      </c>
    </row>
    <row r="208" spans="1:8" x14ac:dyDescent="0.25">
      <c r="A208">
        <v>209</v>
      </c>
      <c r="B208">
        <v>15</v>
      </c>
      <c r="C208" t="s">
        <v>358</v>
      </c>
      <c r="D208" t="s">
        <v>742</v>
      </c>
      <c r="E208">
        <v>2.9999999999999997E-4</v>
      </c>
      <c r="F208" t="s">
        <v>359</v>
      </c>
      <c r="G208" t="s">
        <v>360</v>
      </c>
      <c r="H208" t="s">
        <v>948</v>
      </c>
    </row>
    <row r="209" spans="1:8" x14ac:dyDescent="0.25">
      <c r="A209">
        <v>210</v>
      </c>
      <c r="B209">
        <v>15</v>
      </c>
      <c r="C209" t="s">
        <v>361</v>
      </c>
      <c r="D209" t="s">
        <v>723</v>
      </c>
      <c r="E209">
        <v>1.6831</v>
      </c>
      <c r="F209" t="s">
        <v>362</v>
      </c>
      <c r="G209" t="s">
        <v>363</v>
      </c>
      <c r="H209" t="s">
        <v>948</v>
      </c>
    </row>
    <row r="210" spans="1:8" x14ac:dyDescent="0.25">
      <c r="A210">
        <v>211</v>
      </c>
      <c r="B210">
        <v>15</v>
      </c>
      <c r="C210" t="s">
        <v>364</v>
      </c>
      <c r="D210" t="s">
        <v>724</v>
      </c>
      <c r="E210">
        <v>998.2</v>
      </c>
      <c r="F210" t="s">
        <v>362</v>
      </c>
      <c r="G210" t="s">
        <v>365</v>
      </c>
      <c r="H210" t="s">
        <v>948</v>
      </c>
    </row>
    <row r="211" spans="1:8" x14ac:dyDescent="0.25">
      <c r="A211">
        <v>212</v>
      </c>
      <c r="B211">
        <v>15</v>
      </c>
      <c r="C211" t="s">
        <v>366</v>
      </c>
      <c r="D211" t="s">
        <v>743</v>
      </c>
      <c r="E211">
        <v>1</v>
      </c>
      <c r="F211" t="s">
        <v>1</v>
      </c>
      <c r="G211" t="s">
        <v>367</v>
      </c>
      <c r="H211" t="s">
        <v>948</v>
      </c>
    </row>
    <row r="212" spans="1:8" x14ac:dyDescent="0.25">
      <c r="A212">
        <v>213</v>
      </c>
      <c r="B212">
        <v>15</v>
      </c>
      <c r="C212" t="s">
        <v>368</v>
      </c>
      <c r="D212" t="s">
        <v>725</v>
      </c>
      <c r="E212">
        <v>3700</v>
      </c>
      <c r="F212" t="s">
        <v>348</v>
      </c>
      <c r="G212" t="s">
        <v>369</v>
      </c>
      <c r="H212" t="s">
        <v>948</v>
      </c>
    </row>
    <row r="213" spans="1:8" x14ac:dyDescent="0.25">
      <c r="A213">
        <v>214</v>
      </c>
      <c r="B213">
        <v>15</v>
      </c>
      <c r="C213" t="s">
        <v>370</v>
      </c>
      <c r="D213" t="s">
        <v>744</v>
      </c>
      <c r="E213">
        <v>10000</v>
      </c>
      <c r="F213" t="s">
        <v>371</v>
      </c>
      <c r="G213" t="s">
        <v>372</v>
      </c>
      <c r="H213" t="s">
        <v>948</v>
      </c>
    </row>
    <row r="214" spans="1:8" x14ac:dyDescent="0.25">
      <c r="A214">
        <v>215</v>
      </c>
      <c r="B214">
        <v>15</v>
      </c>
      <c r="C214" t="s">
        <v>373</v>
      </c>
      <c r="D214" t="s">
        <v>745</v>
      </c>
      <c r="E214">
        <v>1500</v>
      </c>
      <c r="F214" t="s">
        <v>287</v>
      </c>
      <c r="G214" t="s">
        <v>374</v>
      </c>
      <c r="H214" t="s">
        <v>948</v>
      </c>
    </row>
    <row r="215" spans="1:8" x14ac:dyDescent="0.25">
      <c r="A215">
        <v>216</v>
      </c>
      <c r="B215">
        <v>15</v>
      </c>
      <c r="C215" t="s">
        <v>375</v>
      </c>
      <c r="D215" t="s">
        <v>738</v>
      </c>
      <c r="E215">
        <v>134</v>
      </c>
      <c r="F215" t="s">
        <v>29</v>
      </c>
      <c r="G215" t="s">
        <v>376</v>
      </c>
      <c r="H215" t="s">
        <v>948</v>
      </c>
    </row>
    <row r="216" spans="1:8" x14ac:dyDescent="0.25">
      <c r="A216">
        <v>217</v>
      </c>
      <c r="B216">
        <v>15</v>
      </c>
      <c r="C216" t="s">
        <v>377</v>
      </c>
      <c r="D216" t="s">
        <v>746</v>
      </c>
      <c r="E216">
        <v>0.13</v>
      </c>
      <c r="F216" t="s">
        <v>356</v>
      </c>
      <c r="G216" t="s">
        <v>378</v>
      </c>
      <c r="H216" t="s">
        <v>948</v>
      </c>
    </row>
    <row r="217" spans="1:8" x14ac:dyDescent="0.25">
      <c r="A217">
        <v>218</v>
      </c>
      <c r="B217">
        <v>15</v>
      </c>
      <c r="C217" t="s">
        <v>379</v>
      </c>
      <c r="D217" t="s">
        <v>747</v>
      </c>
      <c r="E217">
        <v>23.5</v>
      </c>
      <c r="F217" t="s">
        <v>1</v>
      </c>
      <c r="G217" t="s">
        <v>380</v>
      </c>
      <c r="H217" t="s">
        <v>948</v>
      </c>
    </row>
    <row r="218" spans="1:8" x14ac:dyDescent="0.25">
      <c r="A218">
        <v>219</v>
      </c>
      <c r="B218">
        <v>15</v>
      </c>
      <c r="C218" t="s">
        <v>381</v>
      </c>
      <c r="D218" t="s">
        <v>726</v>
      </c>
      <c r="E218">
        <v>2000</v>
      </c>
      <c r="F218" t="s">
        <v>348</v>
      </c>
      <c r="G218" t="s">
        <v>382</v>
      </c>
      <c r="H218" t="s">
        <v>948</v>
      </c>
    </row>
    <row r="219" spans="1:8" x14ac:dyDescent="0.25">
      <c r="A219">
        <v>220</v>
      </c>
      <c r="B219">
        <v>15</v>
      </c>
      <c r="C219" t="s">
        <v>383</v>
      </c>
      <c r="D219" t="s">
        <v>748</v>
      </c>
      <c r="E219">
        <v>4.0000000000000001E-3</v>
      </c>
      <c r="F219" t="s">
        <v>336</v>
      </c>
      <c r="G219" t="s">
        <v>384</v>
      </c>
      <c r="H219" t="s">
        <v>948</v>
      </c>
    </row>
    <row r="220" spans="1:8" x14ac:dyDescent="0.25">
      <c r="A220">
        <v>221</v>
      </c>
      <c r="B220">
        <v>15</v>
      </c>
      <c r="C220" t="s">
        <v>860</v>
      </c>
      <c r="D220" t="s">
        <v>881</v>
      </c>
      <c r="E220">
        <v>46</v>
      </c>
      <c r="F220" t="s">
        <v>353</v>
      </c>
      <c r="G220" t="s">
        <v>386</v>
      </c>
      <c r="H220" t="s">
        <v>948</v>
      </c>
    </row>
    <row r="221" spans="1:8" x14ac:dyDescent="0.25">
      <c r="A221">
        <v>222</v>
      </c>
      <c r="B221">
        <v>15</v>
      </c>
      <c r="C221" t="s">
        <v>387</v>
      </c>
      <c r="D221" t="s">
        <v>750</v>
      </c>
      <c r="E221">
        <v>1.4</v>
      </c>
      <c r="F221" t="s">
        <v>356</v>
      </c>
      <c r="G221" t="s">
        <v>388</v>
      </c>
      <c r="H221" t="s">
        <v>948</v>
      </c>
    </row>
    <row r="222" spans="1:8" x14ac:dyDescent="0.25">
      <c r="A222">
        <v>223</v>
      </c>
      <c r="B222">
        <v>15</v>
      </c>
      <c r="C222" t="s">
        <v>389</v>
      </c>
      <c r="D222" t="s">
        <v>751</v>
      </c>
      <c r="E222">
        <v>4.0000000000000001E-3</v>
      </c>
      <c r="F222" t="s">
        <v>336</v>
      </c>
      <c r="G222" t="s">
        <v>390</v>
      </c>
      <c r="H222" t="s">
        <v>948</v>
      </c>
    </row>
    <row r="223" spans="1:8" x14ac:dyDescent="0.25">
      <c r="A223">
        <v>224</v>
      </c>
      <c r="B223">
        <v>15</v>
      </c>
      <c r="C223" t="s">
        <v>861</v>
      </c>
      <c r="D223" t="s">
        <v>882</v>
      </c>
      <c r="E223">
        <v>46</v>
      </c>
      <c r="F223" t="s">
        <v>353</v>
      </c>
      <c r="G223" t="s">
        <v>392</v>
      </c>
      <c r="H223" t="s">
        <v>948</v>
      </c>
    </row>
    <row r="224" spans="1:8" x14ac:dyDescent="0.25">
      <c r="A224">
        <v>225</v>
      </c>
      <c r="B224">
        <v>15</v>
      </c>
      <c r="C224" t="s">
        <v>393</v>
      </c>
      <c r="D224" t="s">
        <v>752</v>
      </c>
      <c r="E224">
        <v>1.1299999999999999</v>
      </c>
      <c r="F224" t="s">
        <v>356</v>
      </c>
      <c r="G224" t="s">
        <v>394</v>
      </c>
      <c r="H224" t="s">
        <v>948</v>
      </c>
    </row>
    <row r="225" spans="1:8" x14ac:dyDescent="0.25">
      <c r="A225">
        <v>226</v>
      </c>
      <c r="B225">
        <v>15</v>
      </c>
      <c r="C225" t="s">
        <v>395</v>
      </c>
      <c r="D225" t="s">
        <v>729</v>
      </c>
      <c r="E225">
        <v>1</v>
      </c>
      <c r="F225" t="s">
        <v>396</v>
      </c>
      <c r="G225" t="s">
        <v>397</v>
      </c>
      <c r="H225" t="s">
        <v>948</v>
      </c>
    </row>
    <row r="226" spans="1:8" x14ac:dyDescent="0.25">
      <c r="A226">
        <v>227</v>
      </c>
      <c r="B226">
        <v>15</v>
      </c>
      <c r="C226" t="s">
        <v>398</v>
      </c>
      <c r="D226" t="s">
        <v>730</v>
      </c>
      <c r="E226">
        <v>4000</v>
      </c>
      <c r="F226" t="s">
        <v>348</v>
      </c>
      <c r="G226" t="s">
        <v>399</v>
      </c>
      <c r="H226" t="s">
        <v>948</v>
      </c>
    </row>
    <row r="227" spans="1:8" x14ac:dyDescent="0.25">
      <c r="A227">
        <v>228</v>
      </c>
      <c r="B227">
        <v>15</v>
      </c>
      <c r="C227" t="s">
        <v>400</v>
      </c>
      <c r="D227" t="s">
        <v>753</v>
      </c>
      <c r="E227">
        <v>4.0000000000000001E-3</v>
      </c>
      <c r="F227" t="s">
        <v>336</v>
      </c>
      <c r="G227" t="s">
        <v>401</v>
      </c>
      <c r="H227" t="s">
        <v>948</v>
      </c>
    </row>
    <row r="228" spans="1:8" x14ac:dyDescent="0.25">
      <c r="A228">
        <v>229</v>
      </c>
      <c r="B228">
        <v>15</v>
      </c>
      <c r="C228" t="s">
        <v>862</v>
      </c>
      <c r="D228" t="s">
        <v>883</v>
      </c>
      <c r="E228">
        <v>46</v>
      </c>
      <c r="F228" t="s">
        <v>348</v>
      </c>
      <c r="G228" t="s">
        <v>403</v>
      </c>
      <c r="H228" t="s">
        <v>948</v>
      </c>
    </row>
    <row r="229" spans="1:8" x14ac:dyDescent="0.25">
      <c r="A229">
        <v>230</v>
      </c>
      <c r="B229">
        <v>15</v>
      </c>
      <c r="C229" t="s">
        <v>404</v>
      </c>
      <c r="D229" t="s">
        <v>754</v>
      </c>
      <c r="E229">
        <v>7.6999999999999999E-2</v>
      </c>
      <c r="F229" t="s">
        <v>356</v>
      </c>
      <c r="G229" t="s">
        <v>405</v>
      </c>
      <c r="H229" t="s">
        <v>948</v>
      </c>
    </row>
    <row r="230" spans="1:8" x14ac:dyDescent="0.25">
      <c r="A230">
        <v>231</v>
      </c>
      <c r="B230">
        <v>15</v>
      </c>
      <c r="C230" t="s">
        <v>406</v>
      </c>
      <c r="D230" t="s">
        <v>755</v>
      </c>
      <c r="E230">
        <v>2.7199999999999999E-8</v>
      </c>
      <c r="F230" t="s">
        <v>407</v>
      </c>
      <c r="G230" t="s">
        <v>408</v>
      </c>
      <c r="H230" t="s">
        <v>948</v>
      </c>
    </row>
    <row r="231" spans="1:8" x14ac:dyDescent="0.25">
      <c r="A231">
        <v>232</v>
      </c>
      <c r="B231">
        <v>15</v>
      </c>
      <c r="C231" t="s">
        <v>409</v>
      </c>
      <c r="D231" t="s">
        <v>756</v>
      </c>
      <c r="E231">
        <v>4.0359999999999996</v>
      </c>
      <c r="F231" t="s">
        <v>410</v>
      </c>
      <c r="G231" t="s">
        <v>411</v>
      </c>
      <c r="H231" t="s">
        <v>948</v>
      </c>
    </row>
    <row r="232" spans="1:8" x14ac:dyDescent="0.25">
      <c r="A232">
        <v>233</v>
      </c>
      <c r="B232">
        <v>15</v>
      </c>
      <c r="C232" t="s">
        <v>412</v>
      </c>
      <c r="D232" t="s">
        <v>757</v>
      </c>
      <c r="E232">
        <v>56</v>
      </c>
      <c r="F232" t="s">
        <v>1</v>
      </c>
      <c r="G232" t="s">
        <v>413</v>
      </c>
      <c r="H232" t="s">
        <v>948</v>
      </c>
    </row>
    <row r="233" spans="1:8" x14ac:dyDescent="0.25">
      <c r="A233">
        <v>234</v>
      </c>
      <c r="B233">
        <v>15</v>
      </c>
      <c r="C233" t="s">
        <v>414</v>
      </c>
      <c r="D233" t="s">
        <v>758</v>
      </c>
      <c r="E233">
        <v>24</v>
      </c>
      <c r="F233" t="s">
        <v>1</v>
      </c>
      <c r="G233" t="s">
        <v>415</v>
      </c>
      <c r="H233" t="s">
        <v>948</v>
      </c>
    </row>
    <row r="234" spans="1:8" x14ac:dyDescent="0.25">
      <c r="A234">
        <v>235</v>
      </c>
      <c r="B234">
        <v>15</v>
      </c>
      <c r="C234" t="s">
        <v>416</v>
      </c>
      <c r="D234" t="s">
        <v>759</v>
      </c>
      <c r="E234">
        <v>0.13900000000000001</v>
      </c>
      <c r="F234" t="s">
        <v>417</v>
      </c>
      <c r="G234" t="s">
        <v>418</v>
      </c>
      <c r="H234" t="s">
        <v>948</v>
      </c>
    </row>
    <row r="235" spans="1:8" x14ac:dyDescent="0.25">
      <c r="A235">
        <v>236</v>
      </c>
      <c r="B235">
        <v>15</v>
      </c>
      <c r="C235" t="s">
        <v>419</v>
      </c>
      <c r="D235" t="s">
        <v>732</v>
      </c>
      <c r="E235">
        <v>25</v>
      </c>
      <c r="F235" t="s">
        <v>29</v>
      </c>
      <c r="G235" t="s">
        <v>420</v>
      </c>
      <c r="H235" t="s">
        <v>948</v>
      </c>
    </row>
    <row r="236" spans="1:8" x14ac:dyDescent="0.25">
      <c r="A236">
        <v>237</v>
      </c>
      <c r="B236">
        <v>15</v>
      </c>
      <c r="C236" t="s">
        <v>421</v>
      </c>
      <c r="D236" t="s">
        <v>733</v>
      </c>
      <c r="E236">
        <v>10</v>
      </c>
      <c r="F236" t="s">
        <v>422</v>
      </c>
      <c r="G236" t="s">
        <v>423</v>
      </c>
      <c r="H236" t="s">
        <v>948</v>
      </c>
    </row>
    <row r="237" spans="1:8" hidden="1" x14ac:dyDescent="0.25">
      <c r="A237">
        <v>238</v>
      </c>
      <c r="B237">
        <v>16</v>
      </c>
      <c r="C237" t="s">
        <v>863</v>
      </c>
      <c r="D237" t="s">
        <v>888</v>
      </c>
      <c r="E237">
        <v>1.8</v>
      </c>
      <c r="F237" t="s">
        <v>889</v>
      </c>
      <c r="G237" t="s">
        <v>892</v>
      </c>
      <c r="H237" t="s">
        <v>954</v>
      </c>
    </row>
    <row r="238" spans="1:8" hidden="1" x14ac:dyDescent="0.25">
      <c r="A238">
        <v>239</v>
      </c>
      <c r="B238">
        <v>16</v>
      </c>
      <c r="C238" t="s">
        <v>901</v>
      </c>
      <c r="D238" t="s">
        <v>902</v>
      </c>
      <c r="E238">
        <v>1</v>
      </c>
      <c r="G238" t="s">
        <v>903</v>
      </c>
      <c r="H238" t="s">
        <v>954</v>
      </c>
    </row>
    <row r="239" spans="1:8" hidden="1" x14ac:dyDescent="0.25">
      <c r="A239">
        <v>240</v>
      </c>
      <c r="B239">
        <v>16</v>
      </c>
      <c r="C239" t="s">
        <v>929</v>
      </c>
      <c r="D239" t="s">
        <v>928</v>
      </c>
      <c r="E239">
        <v>0</v>
      </c>
      <c r="G239" t="s">
        <v>930</v>
      </c>
      <c r="H239" t="s">
        <v>954</v>
      </c>
    </row>
    <row r="240" spans="1:8" hidden="1" x14ac:dyDescent="0.25">
      <c r="A240">
        <v>241</v>
      </c>
      <c r="B240">
        <v>16</v>
      </c>
      <c r="C240" t="s">
        <v>34</v>
      </c>
      <c r="D240" t="s">
        <v>593</v>
      </c>
      <c r="E240">
        <v>5</v>
      </c>
      <c r="F240" t="s">
        <v>35</v>
      </c>
      <c r="G240" t="s">
        <v>36</v>
      </c>
      <c r="H240" t="s">
        <v>954</v>
      </c>
    </row>
    <row r="241" hidden="1" x14ac:dyDescent="0.25"/>
    <row r="242" hidden="1" x14ac:dyDescent="0.25"/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3111-7381-48C3-BFBB-3715E467BF5A}">
  <dimension ref="A1:S41"/>
  <sheetViews>
    <sheetView workbookViewId="0">
      <selection activeCell="K15" sqref="K15"/>
    </sheetView>
  </sheetViews>
  <sheetFormatPr defaultColWidth="11.42578125" defaultRowHeight="15" x14ac:dyDescent="0.25"/>
  <cols>
    <col min="1" max="1" width="20.7109375" customWidth="1"/>
    <col min="2" max="2" width="16.7109375" customWidth="1"/>
    <col min="3" max="3" width="12.140625" customWidth="1"/>
    <col min="4" max="5" width="18" customWidth="1"/>
    <col min="11" max="11" width="21.140625" customWidth="1"/>
    <col min="12" max="12" width="11.42578125" customWidth="1"/>
    <col min="15" max="15" width="21.140625" customWidth="1"/>
    <col min="16" max="16" width="19.85546875" customWidth="1"/>
    <col min="17" max="17" width="20.42578125" customWidth="1"/>
  </cols>
  <sheetData>
    <row r="1" spans="1:19" x14ac:dyDescent="0.25">
      <c r="A1" t="s">
        <v>1107</v>
      </c>
      <c r="D1" t="s">
        <v>1114</v>
      </c>
      <c r="K1" t="s">
        <v>1140</v>
      </c>
      <c r="O1" t="s">
        <v>1124</v>
      </c>
    </row>
    <row r="2" spans="1:19" x14ac:dyDescent="0.25">
      <c r="A2" t="s">
        <v>1112</v>
      </c>
      <c r="B2" t="s">
        <v>1108</v>
      </c>
      <c r="D2" t="s">
        <v>1113</v>
      </c>
      <c r="E2" t="s">
        <v>1051</v>
      </c>
      <c r="K2" t="s">
        <v>1141</v>
      </c>
      <c r="L2" t="s">
        <v>1128</v>
      </c>
      <c r="M2" t="s">
        <v>1130</v>
      </c>
      <c r="O2" s="16" t="s">
        <v>1127</v>
      </c>
      <c r="P2" t="s">
        <v>1119</v>
      </c>
      <c r="Q2" t="s">
        <v>1123</v>
      </c>
      <c r="R2" t="s">
        <v>1141</v>
      </c>
      <c r="S2" t="s">
        <v>830</v>
      </c>
    </row>
    <row r="3" spans="1:19" x14ac:dyDescent="0.25">
      <c r="A3">
        <v>1</v>
      </c>
      <c r="B3" t="s">
        <v>1109</v>
      </c>
      <c r="D3">
        <v>1</v>
      </c>
      <c r="E3" t="s">
        <v>1115</v>
      </c>
      <c r="K3">
        <v>1</v>
      </c>
      <c r="L3" s="17" t="s">
        <v>1131</v>
      </c>
      <c r="M3" t="s">
        <v>1135</v>
      </c>
      <c r="O3">
        <v>1</v>
      </c>
      <c r="P3">
        <v>1</v>
      </c>
      <c r="Q3" t="s">
        <v>1139</v>
      </c>
      <c r="R3">
        <v>5</v>
      </c>
      <c r="S3">
        <v>0</v>
      </c>
    </row>
    <row r="4" spans="1:19" x14ac:dyDescent="0.25">
      <c r="A4">
        <v>2</v>
      </c>
      <c r="B4" t="s">
        <v>1110</v>
      </c>
      <c r="D4">
        <v>2</v>
      </c>
      <c r="E4" t="s">
        <v>1116</v>
      </c>
      <c r="K4">
        <v>2</v>
      </c>
      <c r="L4" t="s">
        <v>1132</v>
      </c>
      <c r="M4" t="s">
        <v>1136</v>
      </c>
      <c r="O4">
        <v>2</v>
      </c>
      <c r="P4">
        <v>2</v>
      </c>
      <c r="Q4" t="s">
        <v>526</v>
      </c>
      <c r="R4">
        <v>1</v>
      </c>
      <c r="S4">
        <v>50</v>
      </c>
    </row>
    <row r="5" spans="1:19" x14ac:dyDescent="0.25">
      <c r="A5">
        <v>3</v>
      </c>
      <c r="B5" t="s">
        <v>1111</v>
      </c>
      <c r="D5">
        <v>3</v>
      </c>
      <c r="E5" t="s">
        <v>1117</v>
      </c>
      <c r="K5">
        <v>3</v>
      </c>
      <c r="L5" t="s">
        <v>1129</v>
      </c>
      <c r="M5" t="s">
        <v>1129</v>
      </c>
      <c r="O5">
        <v>3</v>
      </c>
      <c r="P5">
        <v>2</v>
      </c>
      <c r="Q5" t="s">
        <v>1139</v>
      </c>
      <c r="R5">
        <v>5</v>
      </c>
      <c r="S5">
        <v>5</v>
      </c>
    </row>
    <row r="6" spans="1:19" x14ac:dyDescent="0.25">
      <c r="D6">
        <v>4</v>
      </c>
      <c r="E6" t="s">
        <v>1118</v>
      </c>
      <c r="K6">
        <v>4</v>
      </c>
      <c r="L6" t="s">
        <v>1133</v>
      </c>
      <c r="M6" t="s">
        <v>1133</v>
      </c>
    </row>
    <row r="7" spans="1:19" x14ac:dyDescent="0.25">
      <c r="K7">
        <v>5</v>
      </c>
      <c r="L7" t="s">
        <v>1134</v>
      </c>
      <c r="M7" t="s">
        <v>1134</v>
      </c>
    </row>
    <row r="14" spans="1:19" x14ac:dyDescent="0.25">
      <c r="A14" t="s">
        <v>1143</v>
      </c>
      <c r="D14" t="s">
        <v>1108</v>
      </c>
      <c r="E14" t="s">
        <v>1051</v>
      </c>
      <c r="G14" t="s">
        <v>1122</v>
      </c>
      <c r="H14" t="s">
        <v>1125</v>
      </c>
      <c r="I14" t="s">
        <v>1126</v>
      </c>
      <c r="K14" t="s">
        <v>1144</v>
      </c>
    </row>
    <row r="15" spans="1:19" x14ac:dyDescent="0.25">
      <c r="A15" t="s">
        <v>1142</v>
      </c>
      <c r="B15" t="s">
        <v>1120</v>
      </c>
      <c r="C15" t="s">
        <v>1121</v>
      </c>
      <c r="D15" t="s">
        <v>1112</v>
      </c>
      <c r="E15" t="s">
        <v>1114</v>
      </c>
      <c r="F15" t="s">
        <v>828</v>
      </c>
      <c r="G15" t="s">
        <v>1127</v>
      </c>
      <c r="K15" t="s">
        <v>1123</v>
      </c>
      <c r="L15" t="s">
        <v>1001</v>
      </c>
    </row>
    <row r="16" spans="1:19" x14ac:dyDescent="0.25">
      <c r="A16">
        <v>1</v>
      </c>
      <c r="B16">
        <v>1</v>
      </c>
      <c r="C16">
        <v>1</v>
      </c>
      <c r="D16">
        <v>1</v>
      </c>
      <c r="E16">
        <v>2</v>
      </c>
      <c r="F16" t="s">
        <v>1116</v>
      </c>
      <c r="G16">
        <v>1</v>
      </c>
      <c r="K16">
        <v>1</v>
      </c>
      <c r="L16">
        <v>1</v>
      </c>
    </row>
    <row r="17" spans="1:12" x14ac:dyDescent="0.25">
      <c r="A17">
        <v>2</v>
      </c>
      <c r="B17">
        <v>1</v>
      </c>
      <c r="C17">
        <v>2</v>
      </c>
      <c r="D17">
        <v>2</v>
      </c>
      <c r="E17">
        <v>3</v>
      </c>
      <c r="F17" t="s">
        <v>1137</v>
      </c>
      <c r="G17">
        <v>2</v>
      </c>
      <c r="K17">
        <v>2</v>
      </c>
      <c r="L17">
        <v>2</v>
      </c>
    </row>
    <row r="18" spans="1:12" x14ac:dyDescent="0.25">
      <c r="A18">
        <v>3</v>
      </c>
      <c r="B18">
        <v>1</v>
      </c>
      <c r="C18">
        <v>3</v>
      </c>
      <c r="D18">
        <v>3</v>
      </c>
      <c r="E18">
        <v>4</v>
      </c>
      <c r="F18" t="s">
        <v>1118</v>
      </c>
      <c r="K18">
        <v>3</v>
      </c>
      <c r="L18">
        <v>3</v>
      </c>
    </row>
    <row r="19" spans="1:12" x14ac:dyDescent="0.25">
      <c r="A19">
        <v>4</v>
      </c>
      <c r="B19">
        <v>1</v>
      </c>
      <c r="C19">
        <v>4</v>
      </c>
      <c r="D19">
        <v>3</v>
      </c>
      <c r="E19">
        <v>3</v>
      </c>
      <c r="F19" t="s">
        <v>1138</v>
      </c>
      <c r="K19">
        <v>4</v>
      </c>
      <c r="L19">
        <v>4</v>
      </c>
    </row>
    <row r="20" spans="1:12" x14ac:dyDescent="0.25">
      <c r="K20">
        <v>5</v>
      </c>
      <c r="L20">
        <v>5</v>
      </c>
    </row>
    <row r="21" spans="1:12" x14ac:dyDescent="0.25">
      <c r="K21">
        <v>6</v>
      </c>
      <c r="L21">
        <v>6</v>
      </c>
    </row>
    <row r="22" spans="1:12" x14ac:dyDescent="0.25">
      <c r="K22">
        <v>7</v>
      </c>
      <c r="L22">
        <v>7</v>
      </c>
    </row>
    <row r="23" spans="1:12" x14ac:dyDescent="0.25">
      <c r="K23">
        <v>8</v>
      </c>
      <c r="L23">
        <v>8</v>
      </c>
    </row>
    <row r="24" spans="1:12" x14ac:dyDescent="0.25">
      <c r="K24">
        <v>9</v>
      </c>
      <c r="L24">
        <v>9</v>
      </c>
    </row>
    <row r="25" spans="1:12" x14ac:dyDescent="0.25">
      <c r="K25">
        <v>10</v>
      </c>
      <c r="L25">
        <v>10</v>
      </c>
    </row>
    <row r="26" spans="1:12" x14ac:dyDescent="0.25">
      <c r="K26">
        <v>11</v>
      </c>
      <c r="L26">
        <v>11</v>
      </c>
    </row>
    <row r="27" spans="1:12" x14ac:dyDescent="0.25">
      <c r="K27">
        <v>12</v>
      </c>
      <c r="L27">
        <v>12</v>
      </c>
    </row>
    <row r="28" spans="1:12" x14ac:dyDescent="0.25">
      <c r="K28">
        <v>13</v>
      </c>
      <c r="L28">
        <v>13</v>
      </c>
    </row>
    <row r="29" spans="1:12" x14ac:dyDescent="0.25">
      <c r="K29">
        <v>14</v>
      </c>
      <c r="L29">
        <v>14</v>
      </c>
    </row>
    <row r="30" spans="1:12" x14ac:dyDescent="0.25">
      <c r="K30">
        <v>15</v>
      </c>
      <c r="L30">
        <v>15</v>
      </c>
    </row>
    <row r="31" spans="1:12" x14ac:dyDescent="0.25">
      <c r="K31">
        <v>16</v>
      </c>
      <c r="L31">
        <v>16</v>
      </c>
    </row>
    <row r="32" spans="1:12" x14ac:dyDescent="0.25">
      <c r="K32">
        <v>17</v>
      </c>
      <c r="L32">
        <v>22</v>
      </c>
    </row>
    <row r="33" spans="11:12" x14ac:dyDescent="0.25">
      <c r="K33">
        <v>18</v>
      </c>
      <c r="L33">
        <v>25</v>
      </c>
    </row>
    <row r="34" spans="11:12" x14ac:dyDescent="0.25">
      <c r="K34">
        <v>19</v>
      </c>
      <c r="L34">
        <v>26</v>
      </c>
    </row>
    <row r="35" spans="11:12" x14ac:dyDescent="0.25">
      <c r="K35">
        <v>20</v>
      </c>
      <c r="L35">
        <v>27</v>
      </c>
    </row>
    <row r="36" spans="11:12" x14ac:dyDescent="0.25">
      <c r="K36">
        <v>21</v>
      </c>
      <c r="L36">
        <v>28</v>
      </c>
    </row>
    <row r="37" spans="11:12" x14ac:dyDescent="0.25">
      <c r="K37">
        <v>22</v>
      </c>
      <c r="L37">
        <v>33</v>
      </c>
    </row>
    <row r="38" spans="11:12" x14ac:dyDescent="0.25">
      <c r="K38">
        <v>23</v>
      </c>
      <c r="L38">
        <v>34</v>
      </c>
    </row>
    <row r="39" spans="11:12" x14ac:dyDescent="0.25">
      <c r="K39">
        <v>24</v>
      </c>
      <c r="L39">
        <v>35</v>
      </c>
    </row>
    <row r="40" spans="11:12" x14ac:dyDescent="0.25">
      <c r="K40">
        <v>25</v>
      </c>
      <c r="L40">
        <v>36</v>
      </c>
    </row>
    <row r="41" spans="11:12" x14ac:dyDescent="0.25">
      <c r="K41">
        <v>26</v>
      </c>
      <c r="L41">
        <v>37</v>
      </c>
    </row>
  </sheetData>
  <pageMargins left="0.7" right="0.7" top="0.78740157499999996" bottom="0.78740157499999996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8183-9D66-4010-9EB2-C805BC623584}">
  <dimension ref="A1:U69"/>
  <sheetViews>
    <sheetView topLeftCell="C26" zoomScaleNormal="100" workbookViewId="0">
      <selection activeCell="K64" sqref="K63:K64"/>
    </sheetView>
  </sheetViews>
  <sheetFormatPr defaultColWidth="11.42578125" defaultRowHeight="15" x14ac:dyDescent="0.25"/>
  <cols>
    <col min="2" max="2" width="12.140625" customWidth="1"/>
    <col min="8" max="8" width="13.140625" customWidth="1"/>
    <col min="9" max="9" width="11.7109375" customWidth="1"/>
    <col min="10" max="10" width="13.85546875" customWidth="1"/>
    <col min="12" max="12" width="12.28515625" customWidth="1"/>
    <col min="15" max="15" width="12" customWidth="1"/>
    <col min="17" max="17" width="12.7109375" customWidth="1"/>
  </cols>
  <sheetData>
    <row r="1" spans="1:18" x14ac:dyDescent="0.25">
      <c r="A1" t="s">
        <v>1000</v>
      </c>
      <c r="B1" t="s">
        <v>1001</v>
      </c>
      <c r="C1" t="s">
        <v>828</v>
      </c>
      <c r="D1" t="s">
        <v>978</v>
      </c>
      <c r="E1" t="s">
        <v>979</v>
      </c>
      <c r="F1" t="s">
        <v>832</v>
      </c>
      <c r="G1" t="s">
        <v>990</v>
      </c>
      <c r="H1" t="s">
        <v>833</v>
      </c>
      <c r="I1" t="s">
        <v>980</v>
      </c>
      <c r="J1" t="s">
        <v>981</v>
      </c>
      <c r="K1" t="s">
        <v>1457</v>
      </c>
      <c r="L1" t="s">
        <v>991</v>
      </c>
      <c r="M1" t="s">
        <v>992</v>
      </c>
      <c r="N1" t="s">
        <v>993</v>
      </c>
      <c r="O1" t="s">
        <v>994</v>
      </c>
      <c r="P1" t="s">
        <v>995</v>
      </c>
      <c r="Q1" t="s">
        <v>996</v>
      </c>
      <c r="R1" t="s">
        <v>1002</v>
      </c>
    </row>
    <row r="2" spans="1:18" x14ac:dyDescent="0.25">
      <c r="A2">
        <v>1</v>
      </c>
      <c r="B2">
        <v>1</v>
      </c>
      <c r="C2" t="s">
        <v>666</v>
      </c>
      <c r="D2" t="s">
        <v>685</v>
      </c>
      <c r="E2" s="1" t="s">
        <v>685</v>
      </c>
      <c r="F2" s="1" t="s">
        <v>41</v>
      </c>
      <c r="G2" s="1" t="s">
        <v>922</v>
      </c>
      <c r="I2" s="1">
        <v>1</v>
      </c>
      <c r="J2" s="1" t="s">
        <v>955</v>
      </c>
      <c r="L2" s="1">
        <v>1</v>
      </c>
      <c r="M2" s="1">
        <v>0</v>
      </c>
      <c r="N2" s="1">
        <v>100</v>
      </c>
      <c r="O2" s="1">
        <v>1</v>
      </c>
      <c r="P2">
        <v>8</v>
      </c>
      <c r="Q2">
        <v>1</v>
      </c>
      <c r="R2" s="1">
        <v>0</v>
      </c>
    </row>
    <row r="3" spans="1:18" x14ac:dyDescent="0.25">
      <c r="A3">
        <v>1</v>
      </c>
      <c r="B3">
        <v>2</v>
      </c>
      <c r="C3" t="s">
        <v>522</v>
      </c>
      <c r="D3" t="s">
        <v>687</v>
      </c>
      <c r="E3" s="1" t="s">
        <v>687</v>
      </c>
      <c r="F3" s="1" t="s">
        <v>41</v>
      </c>
      <c r="G3" s="1" t="s">
        <v>922</v>
      </c>
      <c r="I3" s="1">
        <v>1</v>
      </c>
      <c r="J3" s="1" t="s">
        <v>955</v>
      </c>
      <c r="L3" s="1">
        <v>1</v>
      </c>
      <c r="M3" s="1">
        <v>0</v>
      </c>
      <c r="N3" s="1">
        <v>5</v>
      </c>
      <c r="O3" s="1">
        <v>1</v>
      </c>
      <c r="P3">
        <v>15</v>
      </c>
      <c r="Q3">
        <v>1</v>
      </c>
      <c r="R3" s="1">
        <v>0</v>
      </c>
    </row>
    <row r="4" spans="1:18" x14ac:dyDescent="0.25">
      <c r="A4">
        <v>1</v>
      </c>
      <c r="B4">
        <v>3</v>
      </c>
      <c r="C4" t="s">
        <v>523</v>
      </c>
      <c r="D4" t="s">
        <v>688</v>
      </c>
      <c r="E4" s="1" t="s">
        <v>688</v>
      </c>
      <c r="F4" s="1" t="s">
        <v>41</v>
      </c>
      <c r="G4" s="1" t="s">
        <v>922</v>
      </c>
      <c r="I4" s="1">
        <v>1</v>
      </c>
      <c r="J4" s="1" t="s">
        <v>955</v>
      </c>
      <c r="L4" s="1">
        <v>1</v>
      </c>
      <c r="M4" s="1">
        <v>0</v>
      </c>
      <c r="N4" s="1">
        <v>10</v>
      </c>
      <c r="O4" s="1">
        <v>2</v>
      </c>
      <c r="P4">
        <v>19</v>
      </c>
      <c r="Q4">
        <v>1</v>
      </c>
      <c r="R4" s="1">
        <v>0</v>
      </c>
    </row>
    <row r="5" spans="1:18" x14ac:dyDescent="0.25">
      <c r="A5">
        <v>1</v>
      </c>
      <c r="B5">
        <v>4</v>
      </c>
      <c r="C5" t="s">
        <v>667</v>
      </c>
      <c r="D5" t="s">
        <v>689</v>
      </c>
      <c r="E5" s="1" t="s">
        <v>689</v>
      </c>
      <c r="F5" s="1" t="s">
        <v>41</v>
      </c>
      <c r="G5" s="1" t="s">
        <v>922</v>
      </c>
      <c r="I5" s="1">
        <v>1</v>
      </c>
      <c r="J5" s="1" t="s">
        <v>955</v>
      </c>
      <c r="L5" s="1">
        <v>1</v>
      </c>
      <c r="M5" s="1">
        <v>0</v>
      </c>
      <c r="N5" s="1">
        <v>1E-3</v>
      </c>
      <c r="O5" s="1">
        <v>4</v>
      </c>
      <c r="P5">
        <v>9</v>
      </c>
      <c r="Q5">
        <v>1</v>
      </c>
      <c r="R5" s="1">
        <v>0</v>
      </c>
    </row>
    <row r="6" spans="1:18" x14ac:dyDescent="0.25">
      <c r="A6">
        <v>1</v>
      </c>
      <c r="B6">
        <v>5</v>
      </c>
      <c r="C6" t="s">
        <v>680</v>
      </c>
      <c r="D6" t="s">
        <v>906</v>
      </c>
      <c r="E6" s="1" t="s">
        <v>906</v>
      </c>
      <c r="F6" s="1" t="s">
        <v>326</v>
      </c>
      <c r="G6" s="1" t="s">
        <v>924</v>
      </c>
      <c r="I6" s="1">
        <v>1</v>
      </c>
      <c r="J6" s="1" t="s">
        <v>955</v>
      </c>
      <c r="L6" s="1">
        <v>1</v>
      </c>
      <c r="M6" s="1">
        <v>0</v>
      </c>
      <c r="N6" s="1">
        <v>10</v>
      </c>
      <c r="O6" s="1">
        <v>4</v>
      </c>
      <c r="P6">
        <v>18</v>
      </c>
      <c r="Q6">
        <v>1</v>
      </c>
      <c r="R6" s="1">
        <v>0</v>
      </c>
    </row>
    <row r="7" spans="1:18" x14ac:dyDescent="0.25">
      <c r="A7">
        <v>1</v>
      </c>
      <c r="B7">
        <v>6</v>
      </c>
      <c r="C7" t="s">
        <v>524</v>
      </c>
      <c r="D7" t="s">
        <v>962</v>
      </c>
      <c r="E7" s="1" t="s">
        <v>962</v>
      </c>
      <c r="F7" s="1" t="s">
        <v>61</v>
      </c>
      <c r="G7" s="1" t="s">
        <v>61</v>
      </c>
      <c r="I7" s="1">
        <v>0</v>
      </c>
      <c r="J7" s="1" t="s">
        <v>955</v>
      </c>
      <c r="L7" s="1">
        <v>1</v>
      </c>
      <c r="M7" s="1">
        <v>0</v>
      </c>
      <c r="N7" s="1">
        <v>10</v>
      </c>
      <c r="O7" s="1">
        <v>1</v>
      </c>
      <c r="P7">
        <v>1</v>
      </c>
      <c r="Q7">
        <v>1</v>
      </c>
      <c r="R7" s="1">
        <v>0</v>
      </c>
    </row>
    <row r="8" spans="1:18" x14ac:dyDescent="0.25">
      <c r="A8">
        <v>1</v>
      </c>
      <c r="B8">
        <v>7</v>
      </c>
      <c r="C8" t="s">
        <v>526</v>
      </c>
      <c r="D8" t="s">
        <v>698</v>
      </c>
      <c r="E8" s="1" t="s">
        <v>698</v>
      </c>
      <c r="F8" s="1" t="s">
        <v>4</v>
      </c>
      <c r="G8" s="1" t="s">
        <v>4</v>
      </c>
      <c r="I8" s="1">
        <v>1</v>
      </c>
      <c r="J8" s="1" t="s">
        <v>955</v>
      </c>
      <c r="L8" s="1">
        <v>0</v>
      </c>
      <c r="M8" s="1">
        <v>0</v>
      </c>
      <c r="N8" s="1">
        <v>100</v>
      </c>
      <c r="O8" s="1">
        <v>1</v>
      </c>
      <c r="P8">
        <v>6</v>
      </c>
      <c r="Q8">
        <v>1</v>
      </c>
      <c r="R8" s="1">
        <v>0</v>
      </c>
    </row>
    <row r="9" spans="1:18" x14ac:dyDescent="0.25">
      <c r="A9">
        <v>1</v>
      </c>
      <c r="B9">
        <v>8</v>
      </c>
      <c r="C9" t="s">
        <v>672</v>
      </c>
      <c r="D9" t="s">
        <v>693</v>
      </c>
      <c r="E9" s="1" t="s">
        <v>693</v>
      </c>
      <c r="F9" s="1" t="s">
        <v>684</v>
      </c>
      <c r="G9" s="1" t="s">
        <v>684</v>
      </c>
      <c r="I9" s="1">
        <v>1</v>
      </c>
      <c r="J9" s="1" t="s">
        <v>955</v>
      </c>
      <c r="L9" s="1">
        <v>1</v>
      </c>
      <c r="M9" s="1">
        <v>0</v>
      </c>
      <c r="N9" s="1">
        <v>2000</v>
      </c>
      <c r="O9" s="1">
        <v>4</v>
      </c>
      <c r="P9">
        <v>5</v>
      </c>
      <c r="Q9">
        <v>1</v>
      </c>
      <c r="R9" s="1">
        <v>0</v>
      </c>
    </row>
    <row r="10" spans="1:18" x14ac:dyDescent="0.25">
      <c r="A10">
        <v>1</v>
      </c>
      <c r="B10">
        <v>9</v>
      </c>
      <c r="C10" t="s">
        <v>673</v>
      </c>
      <c r="D10" t="s">
        <v>692</v>
      </c>
      <c r="E10" s="1" t="s">
        <v>692</v>
      </c>
      <c r="F10" s="1" t="s">
        <v>10</v>
      </c>
      <c r="G10" s="1" t="s">
        <v>925</v>
      </c>
      <c r="I10" s="1">
        <v>1</v>
      </c>
      <c r="J10" s="1" t="s">
        <v>955</v>
      </c>
      <c r="L10" s="1">
        <v>1</v>
      </c>
      <c r="M10" s="1">
        <v>0</v>
      </c>
      <c r="N10" s="1">
        <v>10</v>
      </c>
      <c r="O10" s="1">
        <v>4</v>
      </c>
      <c r="P10">
        <v>7</v>
      </c>
      <c r="Q10">
        <v>1</v>
      </c>
      <c r="R10" s="1">
        <v>0</v>
      </c>
    </row>
    <row r="11" spans="1:18" x14ac:dyDescent="0.25">
      <c r="A11">
        <v>1</v>
      </c>
      <c r="B11">
        <v>10</v>
      </c>
      <c r="C11" t="s">
        <v>982</v>
      </c>
      <c r="D11" t="s">
        <v>986</v>
      </c>
      <c r="E11" s="1" t="s">
        <v>986</v>
      </c>
      <c r="F11" s="1" t="s">
        <v>10</v>
      </c>
      <c r="G11" s="1" t="s">
        <v>925</v>
      </c>
      <c r="I11" s="1">
        <v>0</v>
      </c>
      <c r="J11" s="1" t="s">
        <v>955</v>
      </c>
      <c r="L11" s="1">
        <v>1</v>
      </c>
      <c r="M11" s="1">
        <v>0</v>
      </c>
      <c r="N11" s="1">
        <v>10</v>
      </c>
      <c r="O11" s="1">
        <v>4</v>
      </c>
      <c r="P11">
        <v>6</v>
      </c>
      <c r="Q11">
        <v>1</v>
      </c>
      <c r="R11" s="1">
        <v>1</v>
      </c>
    </row>
    <row r="12" spans="1:18" x14ac:dyDescent="0.25">
      <c r="A12">
        <v>1</v>
      </c>
      <c r="B12">
        <v>11</v>
      </c>
      <c r="C12" t="s">
        <v>983</v>
      </c>
      <c r="D12" t="s">
        <v>987</v>
      </c>
      <c r="E12" s="1" t="s">
        <v>987</v>
      </c>
      <c r="F12" s="1" t="s">
        <v>10</v>
      </c>
      <c r="G12" s="1" t="s">
        <v>925</v>
      </c>
      <c r="I12" s="1">
        <v>0</v>
      </c>
      <c r="J12" s="1" t="s">
        <v>955</v>
      </c>
      <c r="L12" s="1">
        <v>1</v>
      </c>
      <c r="M12" s="1">
        <v>0</v>
      </c>
      <c r="N12" s="1">
        <v>10</v>
      </c>
      <c r="O12" s="1">
        <v>4</v>
      </c>
      <c r="P12">
        <v>1</v>
      </c>
      <c r="Q12">
        <v>1</v>
      </c>
      <c r="R12" s="1">
        <v>0</v>
      </c>
    </row>
    <row r="13" spans="1:18" x14ac:dyDescent="0.25">
      <c r="A13">
        <v>1</v>
      </c>
      <c r="B13">
        <v>12</v>
      </c>
      <c r="C13" t="s">
        <v>984</v>
      </c>
      <c r="D13" t="s">
        <v>988</v>
      </c>
      <c r="E13" s="1" t="s">
        <v>988</v>
      </c>
      <c r="F13" s="1" t="s">
        <v>10</v>
      </c>
      <c r="G13" s="1" t="s">
        <v>925</v>
      </c>
      <c r="I13" s="1">
        <v>0</v>
      </c>
      <c r="J13" s="1" t="s">
        <v>955</v>
      </c>
      <c r="L13" s="1">
        <v>1</v>
      </c>
      <c r="M13" s="1">
        <v>0</v>
      </c>
      <c r="N13" s="1">
        <v>10</v>
      </c>
      <c r="O13" s="1">
        <v>1</v>
      </c>
      <c r="P13">
        <v>5</v>
      </c>
      <c r="Q13">
        <v>1</v>
      </c>
      <c r="R13" s="1">
        <v>0</v>
      </c>
    </row>
    <row r="14" spans="1:18" x14ac:dyDescent="0.25">
      <c r="A14">
        <v>1</v>
      </c>
      <c r="B14">
        <v>13</v>
      </c>
      <c r="C14" t="s">
        <v>985</v>
      </c>
      <c r="D14" t="s">
        <v>989</v>
      </c>
      <c r="E14" s="1" t="s">
        <v>989</v>
      </c>
      <c r="F14" s="1" t="s">
        <v>10</v>
      </c>
      <c r="G14" s="1" t="s">
        <v>925</v>
      </c>
      <c r="I14" s="1">
        <v>0</v>
      </c>
      <c r="J14" s="1" t="s">
        <v>955</v>
      </c>
      <c r="L14" s="1">
        <v>1</v>
      </c>
      <c r="M14" s="1">
        <v>0</v>
      </c>
      <c r="N14" s="1">
        <v>10</v>
      </c>
      <c r="O14" s="1">
        <v>1</v>
      </c>
      <c r="P14">
        <v>2</v>
      </c>
      <c r="Q14">
        <v>1</v>
      </c>
      <c r="R14" s="1">
        <v>0</v>
      </c>
    </row>
    <row r="15" spans="1:18" x14ac:dyDescent="0.25">
      <c r="A15">
        <v>1</v>
      </c>
      <c r="B15">
        <v>14</v>
      </c>
      <c r="C15" t="s">
        <v>674</v>
      </c>
      <c r="D15" t="s">
        <v>696</v>
      </c>
      <c r="E15" s="1" t="s">
        <v>696</v>
      </c>
      <c r="F15" s="1" t="s">
        <v>26</v>
      </c>
      <c r="G15" s="1" t="s">
        <v>26</v>
      </c>
      <c r="I15" s="1">
        <v>1</v>
      </c>
      <c r="J15" s="1" t="s">
        <v>955</v>
      </c>
      <c r="L15" s="1">
        <v>0</v>
      </c>
      <c r="M15" s="1">
        <v>5</v>
      </c>
      <c r="N15" s="1">
        <v>8</v>
      </c>
      <c r="O15" s="1">
        <v>2</v>
      </c>
      <c r="P15">
        <v>3</v>
      </c>
      <c r="Q15">
        <v>1</v>
      </c>
      <c r="R15" s="1">
        <v>0</v>
      </c>
    </row>
    <row r="16" spans="1:18" ht="30" x14ac:dyDescent="0.25">
      <c r="A16">
        <v>1</v>
      </c>
      <c r="B16">
        <v>15</v>
      </c>
      <c r="C16" t="s">
        <v>542</v>
      </c>
      <c r="D16" t="s">
        <v>697</v>
      </c>
      <c r="E16" s="1" t="s">
        <v>697</v>
      </c>
      <c r="F16" s="1" t="s">
        <v>29</v>
      </c>
      <c r="G16" s="1" t="s">
        <v>29</v>
      </c>
      <c r="I16" s="1">
        <v>1</v>
      </c>
      <c r="J16" s="1" t="s">
        <v>955</v>
      </c>
      <c r="L16" s="1">
        <v>1</v>
      </c>
      <c r="M16" s="1">
        <v>30</v>
      </c>
      <c r="N16" s="1">
        <v>40</v>
      </c>
      <c r="O16" s="1">
        <v>1</v>
      </c>
      <c r="P16" s="1">
        <v>4</v>
      </c>
      <c r="Q16">
        <v>1</v>
      </c>
      <c r="R16" s="1">
        <v>0</v>
      </c>
    </row>
    <row r="17" spans="1:18" x14ac:dyDescent="0.25">
      <c r="A17">
        <v>1</v>
      </c>
      <c r="B17">
        <v>16</v>
      </c>
      <c r="C17" t="s">
        <v>959</v>
      </c>
      <c r="D17" t="s">
        <v>960</v>
      </c>
      <c r="E17" s="1" t="s">
        <v>960</v>
      </c>
      <c r="F17" s="1" t="s">
        <v>961</v>
      </c>
      <c r="G17" s="1" t="s">
        <v>961</v>
      </c>
      <c r="I17" s="1">
        <v>1</v>
      </c>
      <c r="J17" s="1" t="s">
        <v>955</v>
      </c>
      <c r="L17" s="1">
        <v>0</v>
      </c>
      <c r="M17" s="1">
        <v>0</v>
      </c>
      <c r="N17" s="1">
        <v>20000</v>
      </c>
      <c r="O17" s="1">
        <v>1</v>
      </c>
      <c r="P17" s="1">
        <v>6</v>
      </c>
      <c r="Q17">
        <v>1</v>
      </c>
      <c r="R17" s="1">
        <v>0</v>
      </c>
    </row>
    <row r="18" spans="1:18" x14ac:dyDescent="0.25">
      <c r="A18">
        <v>1</v>
      </c>
      <c r="B18">
        <v>17</v>
      </c>
      <c r="C18" t="s">
        <v>675</v>
      </c>
      <c r="D18" t="s">
        <v>703</v>
      </c>
      <c r="E18" s="1" t="s">
        <v>703</v>
      </c>
      <c r="F18" s="1" t="s">
        <v>26</v>
      </c>
      <c r="G18" s="1" t="s">
        <v>26</v>
      </c>
      <c r="I18" s="1">
        <v>1</v>
      </c>
      <c r="J18" s="1" t="s">
        <v>955</v>
      </c>
      <c r="L18" s="1">
        <v>1</v>
      </c>
      <c r="M18" s="1">
        <v>0</v>
      </c>
      <c r="N18" s="1">
        <v>1</v>
      </c>
      <c r="O18" s="1">
        <v>4</v>
      </c>
      <c r="P18" s="1">
        <v>3</v>
      </c>
      <c r="Q18">
        <v>1</v>
      </c>
      <c r="R18" s="1">
        <v>0</v>
      </c>
    </row>
    <row r="19" spans="1:18" x14ac:dyDescent="0.25">
      <c r="A19">
        <v>1</v>
      </c>
      <c r="B19">
        <v>18</v>
      </c>
      <c r="C19" t="s">
        <v>670</v>
      </c>
      <c r="D19" t="s">
        <v>904</v>
      </c>
      <c r="E19" s="1" t="s">
        <v>904</v>
      </c>
      <c r="F19" s="1" t="s">
        <v>26</v>
      </c>
      <c r="G19" s="1" t="s">
        <v>26</v>
      </c>
      <c r="I19" s="1">
        <v>1</v>
      </c>
      <c r="J19" s="1" t="s">
        <v>955</v>
      </c>
      <c r="L19" s="1">
        <v>1</v>
      </c>
      <c r="M19" s="1">
        <v>0</v>
      </c>
      <c r="N19" s="1">
        <v>1</v>
      </c>
      <c r="O19" s="1">
        <v>4</v>
      </c>
      <c r="P19" s="1">
        <v>7</v>
      </c>
      <c r="Q19">
        <v>1</v>
      </c>
      <c r="R19" s="1">
        <v>0</v>
      </c>
    </row>
    <row r="20" spans="1:18" x14ac:dyDescent="0.25">
      <c r="A20">
        <v>1</v>
      </c>
      <c r="B20">
        <v>19</v>
      </c>
      <c r="C20" t="s">
        <v>907</v>
      </c>
      <c r="D20" t="s">
        <v>908</v>
      </c>
      <c r="E20" s="1" t="s">
        <v>908</v>
      </c>
      <c r="F20" s="1" t="s">
        <v>26</v>
      </c>
      <c r="G20" s="1" t="s">
        <v>26</v>
      </c>
      <c r="I20" s="1">
        <v>1</v>
      </c>
      <c r="J20" s="1" t="s">
        <v>955</v>
      </c>
      <c r="L20" s="1">
        <v>1</v>
      </c>
      <c r="M20" s="1">
        <v>0</v>
      </c>
      <c r="N20" s="1">
        <v>1</v>
      </c>
      <c r="O20" s="1">
        <v>4</v>
      </c>
      <c r="P20">
        <v>19</v>
      </c>
      <c r="Q20">
        <v>1</v>
      </c>
      <c r="R20" s="1">
        <v>0</v>
      </c>
    </row>
    <row r="21" spans="1:18" x14ac:dyDescent="0.25">
      <c r="A21">
        <v>1</v>
      </c>
      <c r="B21">
        <v>20</v>
      </c>
      <c r="C21" t="s">
        <v>671</v>
      </c>
      <c r="D21" t="s">
        <v>905</v>
      </c>
      <c r="E21" s="1" t="s">
        <v>905</v>
      </c>
      <c r="F21" s="1" t="s">
        <v>26</v>
      </c>
      <c r="G21" s="1" t="s">
        <v>26</v>
      </c>
      <c r="I21" s="1">
        <v>1</v>
      </c>
      <c r="J21" s="1" t="s">
        <v>955</v>
      </c>
      <c r="L21" s="1">
        <v>1</v>
      </c>
      <c r="M21" s="1">
        <v>0</v>
      </c>
      <c r="N21" s="1">
        <v>1</v>
      </c>
      <c r="O21" s="1">
        <v>3</v>
      </c>
      <c r="P21">
        <v>19</v>
      </c>
      <c r="Q21">
        <v>1</v>
      </c>
      <c r="R21" s="1">
        <v>0</v>
      </c>
    </row>
    <row r="22" spans="1:18" x14ac:dyDescent="0.25">
      <c r="A22">
        <v>1</v>
      </c>
      <c r="B22">
        <v>21</v>
      </c>
      <c r="C22" t="s">
        <v>525</v>
      </c>
      <c r="D22" t="s">
        <v>686</v>
      </c>
      <c r="E22" s="1" t="s">
        <v>686</v>
      </c>
      <c r="F22" s="1" t="s">
        <v>41</v>
      </c>
      <c r="G22" s="1" t="s">
        <v>922</v>
      </c>
      <c r="I22" s="1">
        <v>1</v>
      </c>
      <c r="J22" s="1" t="s">
        <v>955</v>
      </c>
      <c r="L22" s="1">
        <v>1</v>
      </c>
      <c r="M22" s="1">
        <v>0</v>
      </c>
      <c r="N22" s="1">
        <v>0.1</v>
      </c>
      <c r="O22" s="1">
        <v>1</v>
      </c>
      <c r="P22">
        <v>1</v>
      </c>
      <c r="Q22">
        <v>1</v>
      </c>
      <c r="R22" s="1">
        <v>1</v>
      </c>
    </row>
    <row r="23" spans="1:18" ht="30" x14ac:dyDescent="0.25">
      <c r="A23">
        <v>1</v>
      </c>
      <c r="B23">
        <v>22</v>
      </c>
      <c r="C23" t="s">
        <v>909</v>
      </c>
      <c r="D23" t="s">
        <v>909</v>
      </c>
      <c r="E23" s="1" t="s">
        <v>909</v>
      </c>
      <c r="F23" s="1" t="s">
        <v>910</v>
      </c>
      <c r="G23" s="1" t="s">
        <v>926</v>
      </c>
      <c r="I23" s="1">
        <v>1</v>
      </c>
      <c r="J23" s="1" t="s">
        <v>955</v>
      </c>
      <c r="L23" s="1">
        <v>1</v>
      </c>
      <c r="M23" s="1">
        <v>0</v>
      </c>
      <c r="N23" s="1">
        <v>2</v>
      </c>
      <c r="O23" s="1">
        <v>1</v>
      </c>
      <c r="P23">
        <v>6</v>
      </c>
      <c r="Q23">
        <v>1</v>
      </c>
      <c r="R23" s="1">
        <v>0</v>
      </c>
    </row>
    <row r="24" spans="1:18" x14ac:dyDescent="0.25">
      <c r="A24">
        <v>1</v>
      </c>
      <c r="B24">
        <v>23</v>
      </c>
      <c r="C24" t="s">
        <v>911</v>
      </c>
      <c r="D24" t="s">
        <v>912</v>
      </c>
      <c r="E24" s="1" t="s">
        <v>912</v>
      </c>
      <c r="F24" s="1" t="s">
        <v>913</v>
      </c>
      <c r="G24" s="1" t="s">
        <v>927</v>
      </c>
      <c r="I24" s="1">
        <v>1</v>
      </c>
      <c r="J24" s="1" t="s">
        <v>955</v>
      </c>
      <c r="L24" s="1">
        <v>0</v>
      </c>
      <c r="M24" s="1">
        <v>0</v>
      </c>
      <c r="N24" s="1">
        <v>1</v>
      </c>
      <c r="O24" s="1">
        <v>1</v>
      </c>
      <c r="P24">
        <v>6</v>
      </c>
      <c r="Q24">
        <v>1</v>
      </c>
      <c r="R24" s="1">
        <v>0</v>
      </c>
    </row>
    <row r="25" spans="1:18" ht="30" x14ac:dyDescent="0.25">
      <c r="A25">
        <v>1</v>
      </c>
      <c r="B25">
        <v>24</v>
      </c>
      <c r="C25" t="s">
        <v>914</v>
      </c>
      <c r="D25" t="s">
        <v>915</v>
      </c>
      <c r="E25" s="1" t="s">
        <v>915</v>
      </c>
      <c r="F25" s="1" t="s">
        <v>913</v>
      </c>
      <c r="G25" s="1" t="s">
        <v>927</v>
      </c>
      <c r="I25" s="1">
        <v>1</v>
      </c>
      <c r="J25" s="1" t="s">
        <v>955</v>
      </c>
      <c r="L25" s="1">
        <v>1</v>
      </c>
      <c r="M25" s="1">
        <v>0</v>
      </c>
      <c r="N25" s="1">
        <v>1</v>
      </c>
      <c r="O25" s="1">
        <v>4</v>
      </c>
      <c r="P25">
        <v>2</v>
      </c>
      <c r="Q25">
        <v>1</v>
      </c>
      <c r="R25" s="1">
        <v>0</v>
      </c>
    </row>
    <row r="26" spans="1:18" x14ac:dyDescent="0.25">
      <c r="A26">
        <v>1</v>
      </c>
      <c r="B26">
        <v>25</v>
      </c>
      <c r="C26" t="s">
        <v>916</v>
      </c>
      <c r="D26" t="s">
        <v>916</v>
      </c>
      <c r="E26" s="1" t="s">
        <v>916</v>
      </c>
      <c r="F26" s="1" t="s">
        <v>913</v>
      </c>
      <c r="G26" s="1" t="s">
        <v>927</v>
      </c>
      <c r="I26" s="1">
        <v>1</v>
      </c>
      <c r="J26" s="1" t="s">
        <v>955</v>
      </c>
      <c r="L26" s="1">
        <v>1</v>
      </c>
      <c r="M26" s="1">
        <v>0</v>
      </c>
      <c r="N26" s="1">
        <v>1</v>
      </c>
      <c r="O26" s="1">
        <v>4</v>
      </c>
      <c r="P26">
        <v>13</v>
      </c>
      <c r="Q26">
        <v>1</v>
      </c>
      <c r="R26" s="1">
        <v>0</v>
      </c>
    </row>
    <row r="27" spans="1:18" x14ac:dyDescent="0.25">
      <c r="A27">
        <v>1</v>
      </c>
      <c r="B27">
        <v>26</v>
      </c>
      <c r="C27" t="s">
        <v>917</v>
      </c>
      <c r="D27" t="s">
        <v>917</v>
      </c>
      <c r="E27" s="1" t="s">
        <v>917</v>
      </c>
      <c r="F27" t="s">
        <v>913</v>
      </c>
      <c r="G27" s="1" t="s">
        <v>927</v>
      </c>
      <c r="I27" s="1">
        <v>1</v>
      </c>
      <c r="J27" s="1" t="s">
        <v>955</v>
      </c>
      <c r="L27" s="1">
        <v>1</v>
      </c>
      <c r="M27" s="1">
        <v>0</v>
      </c>
      <c r="N27" s="1">
        <v>1</v>
      </c>
      <c r="O27" s="1">
        <v>4</v>
      </c>
      <c r="P27">
        <v>6</v>
      </c>
      <c r="Q27">
        <v>1</v>
      </c>
      <c r="R27" s="1">
        <v>0</v>
      </c>
    </row>
    <row r="28" spans="1:18" x14ac:dyDescent="0.25">
      <c r="A28">
        <v>1</v>
      </c>
      <c r="B28">
        <v>27</v>
      </c>
      <c r="C28" t="s">
        <v>977</v>
      </c>
      <c r="D28" t="s">
        <v>977</v>
      </c>
      <c r="E28" t="s">
        <v>977</v>
      </c>
      <c r="F28" s="1" t="s">
        <v>913</v>
      </c>
      <c r="G28" s="1" t="s">
        <v>927</v>
      </c>
      <c r="I28" s="1">
        <v>1</v>
      </c>
      <c r="J28" s="1" t="s">
        <v>955</v>
      </c>
      <c r="L28" s="1">
        <v>1</v>
      </c>
      <c r="M28" s="1">
        <v>0</v>
      </c>
      <c r="N28" s="1">
        <v>1</v>
      </c>
      <c r="O28" s="1">
        <v>4</v>
      </c>
      <c r="P28">
        <v>13</v>
      </c>
      <c r="Q28">
        <v>1</v>
      </c>
      <c r="R28" s="1">
        <v>0</v>
      </c>
    </row>
    <row r="29" spans="1:18" x14ac:dyDescent="0.25">
      <c r="A29">
        <v>1</v>
      </c>
      <c r="B29">
        <v>28</v>
      </c>
      <c r="C29" t="s">
        <v>975</v>
      </c>
      <c r="D29" t="s">
        <v>976</v>
      </c>
      <c r="E29" t="s">
        <v>976</v>
      </c>
      <c r="F29" s="1" t="s">
        <v>326</v>
      </c>
      <c r="G29" s="1" t="s">
        <v>924</v>
      </c>
      <c r="I29" s="1">
        <v>1</v>
      </c>
      <c r="J29" s="1" t="s">
        <v>955</v>
      </c>
      <c r="L29" s="1">
        <v>1</v>
      </c>
      <c r="M29" s="1">
        <v>0</v>
      </c>
      <c r="N29" s="1">
        <v>1000</v>
      </c>
      <c r="O29" s="1">
        <v>4</v>
      </c>
      <c r="P29">
        <v>5</v>
      </c>
      <c r="Q29">
        <v>1</v>
      </c>
      <c r="R29" s="1">
        <v>0</v>
      </c>
    </row>
    <row r="30" spans="1:18" x14ac:dyDescent="0.25">
      <c r="A30">
        <v>1</v>
      </c>
      <c r="B30">
        <v>29</v>
      </c>
      <c r="C30" t="s">
        <v>969</v>
      </c>
      <c r="D30" t="s">
        <v>969</v>
      </c>
      <c r="E30" t="s">
        <v>969</v>
      </c>
      <c r="F30" s="1" t="s">
        <v>913</v>
      </c>
      <c r="G30" s="1" t="s">
        <v>927</v>
      </c>
      <c r="I30" s="1">
        <v>0</v>
      </c>
      <c r="J30" s="1" t="s">
        <v>970</v>
      </c>
      <c r="L30" s="1">
        <v>1</v>
      </c>
      <c r="M30" s="1">
        <v>0</v>
      </c>
      <c r="N30" s="1">
        <v>1</v>
      </c>
      <c r="O30" s="1">
        <v>4</v>
      </c>
      <c r="P30">
        <v>18</v>
      </c>
      <c r="Q30">
        <v>1</v>
      </c>
      <c r="R30" s="1">
        <v>0</v>
      </c>
    </row>
    <row r="31" spans="1:18" x14ac:dyDescent="0.25">
      <c r="A31">
        <v>1</v>
      </c>
      <c r="B31">
        <v>30</v>
      </c>
      <c r="C31" t="s">
        <v>668</v>
      </c>
      <c r="D31" t="s">
        <v>690</v>
      </c>
      <c r="E31" t="s">
        <v>690</v>
      </c>
      <c r="F31" s="1" t="s">
        <v>21</v>
      </c>
      <c r="G31" s="1" t="s">
        <v>923</v>
      </c>
      <c r="I31" s="1">
        <v>1</v>
      </c>
      <c r="J31" s="1" t="s">
        <v>955</v>
      </c>
      <c r="L31" s="1">
        <v>1</v>
      </c>
      <c r="M31" s="1">
        <v>0</v>
      </c>
      <c r="N31" s="1">
        <v>1</v>
      </c>
      <c r="O31" s="1">
        <v>4</v>
      </c>
      <c r="P31">
        <v>13</v>
      </c>
      <c r="Q31">
        <v>1</v>
      </c>
      <c r="R31" s="1">
        <v>0</v>
      </c>
    </row>
    <row r="32" spans="1:18" x14ac:dyDescent="0.25">
      <c r="A32">
        <v>1</v>
      </c>
      <c r="B32">
        <v>31</v>
      </c>
      <c r="C32" t="s">
        <v>669</v>
      </c>
      <c r="D32" t="s">
        <v>691</v>
      </c>
      <c r="E32" t="s">
        <v>691</v>
      </c>
      <c r="F32" s="1" t="s">
        <v>21</v>
      </c>
      <c r="G32" s="1" t="s">
        <v>923</v>
      </c>
      <c r="I32" s="1">
        <v>1</v>
      </c>
      <c r="J32" s="1" t="s">
        <v>955</v>
      </c>
      <c r="L32" s="1">
        <v>1</v>
      </c>
      <c r="M32" s="1">
        <v>0</v>
      </c>
      <c r="N32" s="1">
        <v>1</v>
      </c>
      <c r="O32" s="1">
        <v>1</v>
      </c>
      <c r="P32">
        <v>1</v>
      </c>
      <c r="Q32">
        <v>1</v>
      </c>
      <c r="R32" s="1">
        <v>0</v>
      </c>
    </row>
    <row r="33" spans="1:19" x14ac:dyDescent="0.25">
      <c r="A33">
        <v>1</v>
      </c>
      <c r="B33">
        <v>32</v>
      </c>
      <c r="C33" t="s">
        <v>532</v>
      </c>
      <c r="D33" t="s">
        <v>700</v>
      </c>
      <c r="E33" t="s">
        <v>700</v>
      </c>
      <c r="F33" t="s">
        <v>61</v>
      </c>
      <c r="G33" t="s">
        <v>997</v>
      </c>
      <c r="I33">
        <v>1</v>
      </c>
      <c r="J33" t="s">
        <v>955</v>
      </c>
      <c r="L33">
        <v>1</v>
      </c>
      <c r="M33">
        <v>0</v>
      </c>
      <c r="N33">
        <v>10</v>
      </c>
      <c r="O33">
        <v>1</v>
      </c>
      <c r="P33">
        <v>1</v>
      </c>
      <c r="Q33">
        <v>1</v>
      </c>
      <c r="R33" s="1">
        <v>0</v>
      </c>
    </row>
    <row r="34" spans="1:19" x14ac:dyDescent="0.25">
      <c r="A34">
        <v>1</v>
      </c>
      <c r="B34">
        <v>33</v>
      </c>
      <c r="C34" t="s">
        <v>681</v>
      </c>
      <c r="D34" t="s">
        <v>699</v>
      </c>
      <c r="E34" t="s">
        <v>679</v>
      </c>
      <c r="F34" t="s">
        <v>38</v>
      </c>
      <c r="G34" t="s">
        <v>38</v>
      </c>
      <c r="I34">
        <v>1</v>
      </c>
      <c r="J34" t="s">
        <v>955</v>
      </c>
      <c r="L34">
        <v>1</v>
      </c>
      <c r="M34">
        <v>0</v>
      </c>
      <c r="N34">
        <v>10</v>
      </c>
      <c r="O34">
        <v>1</v>
      </c>
      <c r="P34">
        <v>1</v>
      </c>
      <c r="Q34">
        <v>1</v>
      </c>
      <c r="R34" s="1">
        <v>0</v>
      </c>
    </row>
    <row r="35" spans="1:19" x14ac:dyDescent="0.25">
      <c r="A35">
        <v>1</v>
      </c>
      <c r="B35">
        <v>34</v>
      </c>
      <c r="C35" t="s">
        <v>682</v>
      </c>
      <c r="D35" t="s">
        <v>701</v>
      </c>
      <c r="E35" t="s">
        <v>678</v>
      </c>
      <c r="F35" t="s">
        <v>38</v>
      </c>
      <c r="G35" t="s">
        <v>38</v>
      </c>
      <c r="I35">
        <v>1</v>
      </c>
      <c r="J35" t="s">
        <v>955</v>
      </c>
      <c r="L35">
        <v>1</v>
      </c>
      <c r="M35">
        <v>0</v>
      </c>
      <c r="N35">
        <v>10</v>
      </c>
      <c r="O35">
        <v>1</v>
      </c>
      <c r="P35">
        <v>1</v>
      </c>
      <c r="Q35">
        <v>1</v>
      </c>
      <c r="R35" s="1">
        <v>0</v>
      </c>
    </row>
    <row r="36" spans="1:19" x14ac:dyDescent="0.25">
      <c r="A36">
        <v>1</v>
      </c>
      <c r="B36">
        <v>35</v>
      </c>
      <c r="C36" t="s">
        <v>539</v>
      </c>
      <c r="D36" t="s">
        <v>694</v>
      </c>
      <c r="E36" t="s">
        <v>677</v>
      </c>
      <c r="F36" t="s">
        <v>38</v>
      </c>
      <c r="G36" t="s">
        <v>38</v>
      </c>
      <c r="I36">
        <v>1</v>
      </c>
      <c r="J36" t="s">
        <v>955</v>
      </c>
      <c r="L36">
        <v>1</v>
      </c>
      <c r="M36">
        <v>0</v>
      </c>
      <c r="N36">
        <v>10</v>
      </c>
      <c r="O36">
        <v>1</v>
      </c>
      <c r="P36">
        <v>1</v>
      </c>
      <c r="Q36">
        <v>1</v>
      </c>
      <c r="R36" s="1">
        <v>1</v>
      </c>
    </row>
    <row r="37" spans="1:19" x14ac:dyDescent="0.25">
      <c r="A37">
        <v>1</v>
      </c>
      <c r="B37">
        <v>36</v>
      </c>
      <c r="C37" t="s">
        <v>683</v>
      </c>
      <c r="D37" t="s">
        <v>702</v>
      </c>
      <c r="E37" t="s">
        <v>676</v>
      </c>
      <c r="F37" t="s">
        <v>38</v>
      </c>
      <c r="G37" t="s">
        <v>38</v>
      </c>
      <c r="I37">
        <v>1</v>
      </c>
      <c r="J37" t="s">
        <v>955</v>
      </c>
      <c r="L37">
        <v>1</v>
      </c>
      <c r="M37">
        <v>0</v>
      </c>
      <c r="N37">
        <v>10</v>
      </c>
      <c r="O37">
        <v>1</v>
      </c>
      <c r="P37">
        <v>1</v>
      </c>
      <c r="Q37">
        <v>1</v>
      </c>
      <c r="R37" s="1">
        <v>0</v>
      </c>
      <c r="S37" s="1"/>
    </row>
    <row r="38" spans="1:19" x14ac:dyDescent="0.25">
      <c r="A38">
        <v>1</v>
      </c>
      <c r="B38">
        <v>37</v>
      </c>
      <c r="C38" t="s">
        <v>534</v>
      </c>
      <c r="D38" t="s">
        <v>695</v>
      </c>
      <c r="E38" t="s">
        <v>695</v>
      </c>
      <c r="F38" t="s">
        <v>38</v>
      </c>
      <c r="G38" t="s">
        <v>38</v>
      </c>
      <c r="I38">
        <v>1</v>
      </c>
      <c r="J38" t="s">
        <v>955</v>
      </c>
      <c r="L38">
        <v>1</v>
      </c>
      <c r="M38">
        <v>0</v>
      </c>
      <c r="N38">
        <v>10</v>
      </c>
      <c r="O38">
        <v>1</v>
      </c>
      <c r="P38">
        <v>1</v>
      </c>
      <c r="Q38">
        <v>1</v>
      </c>
      <c r="R38" s="1">
        <v>0</v>
      </c>
      <c r="S38" s="1"/>
    </row>
    <row r="39" spans="1:19" x14ac:dyDescent="0.25">
      <c r="A39">
        <v>1</v>
      </c>
      <c r="B39">
        <v>38</v>
      </c>
      <c r="C39" t="s">
        <v>918</v>
      </c>
      <c r="D39" t="s">
        <v>919</v>
      </c>
      <c r="E39" t="s">
        <v>919</v>
      </c>
      <c r="F39" t="s">
        <v>21</v>
      </c>
      <c r="G39" t="s">
        <v>923</v>
      </c>
      <c r="H39" t="s">
        <v>956</v>
      </c>
      <c r="I39">
        <v>1</v>
      </c>
      <c r="J39" t="s">
        <v>955</v>
      </c>
      <c r="L39">
        <v>1</v>
      </c>
      <c r="M39">
        <v>0</v>
      </c>
      <c r="N39">
        <v>10</v>
      </c>
      <c r="O39">
        <v>1</v>
      </c>
      <c r="P39">
        <v>1</v>
      </c>
      <c r="Q39">
        <v>1</v>
      </c>
      <c r="R39" s="1">
        <v>0</v>
      </c>
      <c r="S39" s="1"/>
    </row>
    <row r="40" spans="1:19" x14ac:dyDescent="0.25">
      <c r="A40">
        <v>1</v>
      </c>
      <c r="B40">
        <v>39</v>
      </c>
      <c r="C40" t="s">
        <v>920</v>
      </c>
      <c r="D40" t="s">
        <v>921</v>
      </c>
      <c r="E40" t="s">
        <v>921</v>
      </c>
      <c r="F40" t="s">
        <v>21</v>
      </c>
      <c r="G40" t="s">
        <v>923</v>
      </c>
      <c r="H40" t="s">
        <v>957</v>
      </c>
      <c r="I40">
        <v>1</v>
      </c>
      <c r="J40" t="s">
        <v>955</v>
      </c>
      <c r="L40">
        <v>1</v>
      </c>
      <c r="M40">
        <v>0</v>
      </c>
      <c r="N40">
        <v>10</v>
      </c>
      <c r="O40">
        <v>1</v>
      </c>
      <c r="P40">
        <v>1</v>
      </c>
      <c r="Q40">
        <v>1</v>
      </c>
      <c r="R40" s="1">
        <v>0</v>
      </c>
      <c r="S40" s="1"/>
    </row>
    <row r="41" spans="1:19" x14ac:dyDescent="0.25">
      <c r="A41">
        <v>1</v>
      </c>
      <c r="B41">
        <v>40</v>
      </c>
      <c r="C41" t="s">
        <v>531</v>
      </c>
      <c r="D41" t="s">
        <v>958</v>
      </c>
      <c r="E41" t="s">
        <v>958</v>
      </c>
      <c r="F41" t="s">
        <v>61</v>
      </c>
      <c r="G41" t="s">
        <v>997</v>
      </c>
      <c r="I41">
        <v>1</v>
      </c>
      <c r="J41" t="s">
        <v>955</v>
      </c>
      <c r="L41">
        <v>1</v>
      </c>
      <c r="M41">
        <v>0</v>
      </c>
      <c r="N41">
        <v>10</v>
      </c>
      <c r="O41">
        <v>1</v>
      </c>
      <c r="P41">
        <v>1</v>
      </c>
      <c r="Q41">
        <v>1</v>
      </c>
      <c r="R41" s="1">
        <v>0</v>
      </c>
      <c r="S41" s="1"/>
    </row>
    <row r="42" spans="1:19" x14ac:dyDescent="0.25">
      <c r="A42">
        <v>1</v>
      </c>
      <c r="B42">
        <v>41</v>
      </c>
      <c r="C42" t="s">
        <v>963</v>
      </c>
      <c r="D42" t="s">
        <v>964</v>
      </c>
      <c r="E42" t="s">
        <v>964</v>
      </c>
      <c r="F42" t="s">
        <v>26</v>
      </c>
      <c r="G42" t="s">
        <v>26</v>
      </c>
      <c r="I42">
        <v>1</v>
      </c>
      <c r="J42" t="s">
        <v>955</v>
      </c>
      <c r="L42">
        <v>1</v>
      </c>
      <c r="M42">
        <v>3</v>
      </c>
      <c r="N42">
        <v>8</v>
      </c>
      <c r="O42">
        <v>1</v>
      </c>
      <c r="P42">
        <v>1</v>
      </c>
      <c r="Q42">
        <v>1</v>
      </c>
      <c r="R42" s="1">
        <v>0</v>
      </c>
    </row>
    <row r="43" spans="1:19" x14ac:dyDescent="0.25">
      <c r="A43">
        <v>1</v>
      </c>
      <c r="B43">
        <v>42</v>
      </c>
      <c r="C43" t="s">
        <v>965</v>
      </c>
      <c r="D43" t="s">
        <v>966</v>
      </c>
      <c r="E43" t="s">
        <v>966</v>
      </c>
      <c r="F43" t="s">
        <v>29</v>
      </c>
      <c r="G43" t="s">
        <v>29</v>
      </c>
      <c r="I43">
        <v>1</v>
      </c>
      <c r="J43" t="s">
        <v>955</v>
      </c>
      <c r="L43">
        <v>1</v>
      </c>
      <c r="M43">
        <v>30</v>
      </c>
      <c r="N43">
        <v>40</v>
      </c>
      <c r="O43">
        <v>1</v>
      </c>
      <c r="P43">
        <v>1</v>
      </c>
      <c r="Q43">
        <v>1</v>
      </c>
      <c r="R43" s="1">
        <v>0</v>
      </c>
    </row>
    <row r="44" spans="1:19" x14ac:dyDescent="0.25">
      <c r="A44">
        <v>1</v>
      </c>
      <c r="B44">
        <v>43</v>
      </c>
      <c r="C44" t="s">
        <v>967</v>
      </c>
      <c r="D44" t="s">
        <v>968</v>
      </c>
      <c r="E44" t="s">
        <v>968</v>
      </c>
      <c r="F44" t="s">
        <v>4</v>
      </c>
      <c r="G44" t="s">
        <v>4</v>
      </c>
      <c r="I44">
        <v>1</v>
      </c>
      <c r="J44" t="s">
        <v>955</v>
      </c>
      <c r="L44">
        <v>1</v>
      </c>
      <c r="M44">
        <v>0</v>
      </c>
      <c r="N44">
        <v>100</v>
      </c>
      <c r="O44">
        <v>1</v>
      </c>
      <c r="P44">
        <v>1</v>
      </c>
      <c r="Q44">
        <v>1</v>
      </c>
      <c r="R44" s="1">
        <v>0</v>
      </c>
    </row>
    <row r="45" spans="1:19" x14ac:dyDescent="0.25">
      <c r="A45">
        <v>1</v>
      </c>
      <c r="B45">
        <v>44</v>
      </c>
      <c r="C45" t="s">
        <v>538</v>
      </c>
      <c r="D45" t="s">
        <v>538</v>
      </c>
      <c r="E45" t="s">
        <v>538</v>
      </c>
      <c r="F45" t="s">
        <v>4</v>
      </c>
      <c r="G45" t="s">
        <v>4</v>
      </c>
      <c r="I45">
        <v>0</v>
      </c>
      <c r="J45" t="s">
        <v>970</v>
      </c>
      <c r="L45">
        <v>1</v>
      </c>
      <c r="M45">
        <v>0</v>
      </c>
      <c r="N45">
        <v>10</v>
      </c>
      <c r="O45">
        <v>1</v>
      </c>
      <c r="P45">
        <v>1</v>
      </c>
      <c r="Q45">
        <v>1</v>
      </c>
      <c r="R45" s="1">
        <v>0</v>
      </c>
    </row>
    <row r="46" spans="1:19" x14ac:dyDescent="0.25">
      <c r="A46">
        <v>1</v>
      </c>
      <c r="B46">
        <v>45</v>
      </c>
      <c r="C46" t="s">
        <v>533</v>
      </c>
      <c r="D46" t="s">
        <v>971</v>
      </c>
      <c r="E46" t="s">
        <v>971</v>
      </c>
      <c r="F46" t="s">
        <v>61</v>
      </c>
      <c r="G46" t="s">
        <v>997</v>
      </c>
      <c r="I46">
        <v>0</v>
      </c>
      <c r="J46" t="s">
        <v>970</v>
      </c>
      <c r="L46">
        <v>1</v>
      </c>
      <c r="M46">
        <v>0</v>
      </c>
      <c r="N46">
        <v>10</v>
      </c>
      <c r="O46">
        <v>1</v>
      </c>
      <c r="P46">
        <v>1</v>
      </c>
      <c r="Q46">
        <v>1</v>
      </c>
      <c r="R46" s="1">
        <v>0</v>
      </c>
    </row>
    <row r="47" spans="1:19" x14ac:dyDescent="0.25">
      <c r="A47">
        <v>1</v>
      </c>
      <c r="B47">
        <v>46</v>
      </c>
      <c r="C47" t="s">
        <v>529</v>
      </c>
      <c r="D47" t="s">
        <v>972</v>
      </c>
      <c r="E47" t="s">
        <v>972</v>
      </c>
      <c r="F47" t="s">
        <v>61</v>
      </c>
      <c r="G47" t="s">
        <v>997</v>
      </c>
      <c r="I47">
        <v>0</v>
      </c>
      <c r="J47" t="s">
        <v>970</v>
      </c>
      <c r="L47">
        <v>1</v>
      </c>
      <c r="M47">
        <v>0</v>
      </c>
      <c r="N47">
        <v>10</v>
      </c>
      <c r="O47">
        <v>1</v>
      </c>
      <c r="P47">
        <v>1</v>
      </c>
      <c r="Q47">
        <v>1</v>
      </c>
      <c r="R47" s="1">
        <v>0</v>
      </c>
    </row>
    <row r="48" spans="1:19" x14ac:dyDescent="0.25">
      <c r="A48">
        <v>1</v>
      </c>
      <c r="B48">
        <v>47</v>
      </c>
      <c r="C48" t="s">
        <v>530</v>
      </c>
      <c r="D48" t="s">
        <v>973</v>
      </c>
      <c r="E48" t="s">
        <v>973</v>
      </c>
      <c r="F48" t="s">
        <v>61</v>
      </c>
      <c r="G48" t="s">
        <v>997</v>
      </c>
      <c r="I48">
        <v>0</v>
      </c>
      <c r="J48" t="s">
        <v>970</v>
      </c>
      <c r="L48">
        <v>1</v>
      </c>
      <c r="M48">
        <v>0</v>
      </c>
      <c r="N48">
        <v>10</v>
      </c>
      <c r="O48">
        <v>1</v>
      </c>
      <c r="P48">
        <v>1</v>
      </c>
      <c r="Q48">
        <v>1</v>
      </c>
      <c r="R48" s="1">
        <v>0</v>
      </c>
    </row>
    <row r="49" spans="1:21" x14ac:dyDescent="0.25">
      <c r="A49">
        <v>1</v>
      </c>
      <c r="B49">
        <v>48</v>
      </c>
      <c r="C49" t="s">
        <v>510</v>
      </c>
      <c r="D49" t="s">
        <v>510</v>
      </c>
      <c r="E49" t="s">
        <v>510</v>
      </c>
      <c r="F49" t="s">
        <v>26</v>
      </c>
      <c r="G49" t="s">
        <v>26</v>
      </c>
      <c r="I49">
        <v>0</v>
      </c>
      <c r="J49" t="s">
        <v>970</v>
      </c>
      <c r="L49">
        <v>1</v>
      </c>
      <c r="M49">
        <v>0</v>
      </c>
      <c r="N49">
        <v>10</v>
      </c>
      <c r="O49">
        <v>1</v>
      </c>
      <c r="P49">
        <v>1</v>
      </c>
      <c r="Q49">
        <v>1</v>
      </c>
      <c r="R49" s="1">
        <v>0</v>
      </c>
    </row>
    <row r="50" spans="1:21" x14ac:dyDescent="0.25">
      <c r="A50">
        <v>1</v>
      </c>
      <c r="B50">
        <v>49</v>
      </c>
      <c r="C50" t="s">
        <v>540</v>
      </c>
      <c r="D50" t="s">
        <v>974</v>
      </c>
      <c r="E50" t="s">
        <v>974</v>
      </c>
      <c r="F50" t="s">
        <v>29</v>
      </c>
      <c r="G50" t="s">
        <v>29</v>
      </c>
      <c r="I50">
        <v>0</v>
      </c>
      <c r="J50" t="s">
        <v>970</v>
      </c>
      <c r="L50">
        <v>1</v>
      </c>
      <c r="M50">
        <v>0</v>
      </c>
      <c r="N50">
        <v>10</v>
      </c>
      <c r="O50">
        <v>1</v>
      </c>
      <c r="P50">
        <v>1</v>
      </c>
      <c r="Q50">
        <v>1</v>
      </c>
      <c r="R50" s="1">
        <v>0</v>
      </c>
    </row>
    <row r="51" spans="1:21" x14ac:dyDescent="0.25">
      <c r="A51">
        <v>1</v>
      </c>
      <c r="B51">
        <v>50</v>
      </c>
      <c r="C51" t="s">
        <v>54</v>
      </c>
      <c r="D51" t="s">
        <v>600</v>
      </c>
      <c r="E51" t="s">
        <v>600</v>
      </c>
      <c r="F51" t="s">
        <v>26</v>
      </c>
      <c r="G51" t="s">
        <v>26</v>
      </c>
      <c r="I51">
        <v>1</v>
      </c>
      <c r="J51" t="s">
        <v>955</v>
      </c>
      <c r="L51">
        <v>1</v>
      </c>
      <c r="M51">
        <v>0</v>
      </c>
      <c r="N51">
        <v>1</v>
      </c>
      <c r="O51">
        <v>4</v>
      </c>
      <c r="P51">
        <v>3</v>
      </c>
      <c r="Q51">
        <v>1</v>
      </c>
      <c r="R51" s="1">
        <v>0</v>
      </c>
      <c r="S51" s="1"/>
      <c r="T51" s="1"/>
      <c r="U51" s="1"/>
    </row>
    <row r="52" spans="1:21" x14ac:dyDescent="0.25">
      <c r="A52">
        <v>1</v>
      </c>
      <c r="B52">
        <v>51</v>
      </c>
      <c r="C52" t="s">
        <v>535</v>
      </c>
      <c r="D52" t="s">
        <v>1005</v>
      </c>
      <c r="E52" t="s">
        <v>1005</v>
      </c>
      <c r="F52" t="s">
        <v>38</v>
      </c>
      <c r="G52" t="s">
        <v>38</v>
      </c>
      <c r="I52">
        <v>0</v>
      </c>
      <c r="J52" t="s">
        <v>970</v>
      </c>
      <c r="L52">
        <v>1</v>
      </c>
      <c r="M52">
        <v>0</v>
      </c>
      <c r="N52">
        <v>1</v>
      </c>
      <c r="O52">
        <v>4</v>
      </c>
      <c r="P52">
        <v>3</v>
      </c>
      <c r="Q52">
        <v>1</v>
      </c>
      <c r="R52" s="1">
        <v>0</v>
      </c>
      <c r="S52" s="1"/>
      <c r="T52" s="1"/>
      <c r="U52" s="1"/>
    </row>
    <row r="53" spans="1:21" x14ac:dyDescent="0.25">
      <c r="A53">
        <v>1</v>
      </c>
      <c r="B53">
        <v>52</v>
      </c>
      <c r="C53" t="s">
        <v>537</v>
      </c>
      <c r="D53" t="s">
        <v>1006</v>
      </c>
      <c r="E53" t="s">
        <v>1006</v>
      </c>
      <c r="F53" t="s">
        <v>38</v>
      </c>
      <c r="G53" t="s">
        <v>38</v>
      </c>
      <c r="I53">
        <v>0</v>
      </c>
      <c r="J53" t="s">
        <v>970</v>
      </c>
      <c r="L53">
        <v>1</v>
      </c>
      <c r="M53">
        <v>0</v>
      </c>
      <c r="N53">
        <v>1</v>
      </c>
      <c r="O53">
        <v>4</v>
      </c>
      <c r="P53">
        <v>3</v>
      </c>
      <c r="Q53">
        <v>1</v>
      </c>
      <c r="R53" s="1">
        <v>0</v>
      </c>
      <c r="S53" s="1"/>
      <c r="T53" s="1"/>
      <c r="U53" s="1"/>
    </row>
    <row r="54" spans="1:21" x14ac:dyDescent="0.25">
      <c r="A54">
        <v>1</v>
      </c>
      <c r="B54">
        <v>53</v>
      </c>
      <c r="C54" t="s">
        <v>536</v>
      </c>
      <c r="D54" t="s">
        <v>1007</v>
      </c>
      <c r="E54" t="s">
        <v>1007</v>
      </c>
      <c r="F54" t="s">
        <v>38</v>
      </c>
      <c r="G54" t="s">
        <v>38</v>
      </c>
      <c r="I54">
        <v>0</v>
      </c>
      <c r="J54" t="s">
        <v>970</v>
      </c>
      <c r="L54">
        <v>1</v>
      </c>
      <c r="M54">
        <v>0</v>
      </c>
      <c r="N54">
        <v>1</v>
      </c>
      <c r="O54">
        <v>4</v>
      </c>
      <c r="P54">
        <v>3</v>
      </c>
      <c r="Q54">
        <v>1</v>
      </c>
      <c r="R54" s="1">
        <v>0</v>
      </c>
      <c r="S54" s="1"/>
      <c r="T54" s="1"/>
      <c r="U54" s="1"/>
    </row>
    <row r="55" spans="1:21" x14ac:dyDescent="0.25">
      <c r="A55">
        <v>1</v>
      </c>
      <c r="B55">
        <v>54</v>
      </c>
      <c r="C55" t="s">
        <v>1042</v>
      </c>
      <c r="D55" t="s">
        <v>1049</v>
      </c>
      <c r="E55" t="s">
        <v>1049</v>
      </c>
      <c r="F55" s="1" t="s">
        <v>913</v>
      </c>
      <c r="G55" s="1" t="s">
        <v>927</v>
      </c>
      <c r="I55">
        <v>0</v>
      </c>
      <c r="J55" t="s">
        <v>970</v>
      </c>
      <c r="L55">
        <v>1</v>
      </c>
      <c r="M55">
        <v>0</v>
      </c>
      <c r="N55">
        <v>1</v>
      </c>
      <c r="O55">
        <v>4</v>
      </c>
      <c r="P55">
        <v>3</v>
      </c>
      <c r="Q55">
        <v>1</v>
      </c>
      <c r="R55" s="1">
        <v>0</v>
      </c>
      <c r="S55" s="1"/>
      <c r="T55" s="1"/>
      <c r="U55" s="1"/>
    </row>
    <row r="56" spans="1:21" x14ac:dyDescent="0.25">
      <c r="A56">
        <v>1</v>
      </c>
      <c r="B56">
        <v>55</v>
      </c>
      <c r="C56" t="s">
        <v>1041</v>
      </c>
      <c r="D56" t="s">
        <v>1050</v>
      </c>
      <c r="E56" t="s">
        <v>1050</v>
      </c>
      <c r="F56" s="1" t="s">
        <v>913</v>
      </c>
      <c r="G56" s="1" t="s">
        <v>927</v>
      </c>
      <c r="I56">
        <v>0</v>
      </c>
      <c r="J56" t="s">
        <v>970</v>
      </c>
      <c r="L56">
        <v>1</v>
      </c>
      <c r="M56">
        <v>0</v>
      </c>
      <c r="N56">
        <v>1</v>
      </c>
      <c r="O56">
        <v>4</v>
      </c>
      <c r="P56">
        <v>3</v>
      </c>
      <c r="Q56">
        <v>1</v>
      </c>
      <c r="R56" s="1">
        <v>0</v>
      </c>
      <c r="S56" s="1"/>
      <c r="T56" s="1"/>
      <c r="U56" s="1"/>
    </row>
    <row r="57" spans="1:21" x14ac:dyDescent="0.25">
      <c r="Q57" s="1"/>
      <c r="R57" s="1"/>
      <c r="S57" s="1"/>
      <c r="T57" s="1"/>
      <c r="U57" s="1"/>
    </row>
    <row r="58" spans="1:21" x14ac:dyDescent="0.25">
      <c r="Q58" s="1"/>
      <c r="R58" s="1"/>
      <c r="S58" s="1"/>
      <c r="T58" s="1"/>
      <c r="U58" s="1"/>
    </row>
    <row r="59" spans="1:21" x14ac:dyDescent="0.25">
      <c r="Q59" s="1"/>
      <c r="R59" s="1"/>
      <c r="S59" s="1"/>
      <c r="T59" s="1"/>
      <c r="U59" s="1"/>
    </row>
    <row r="60" spans="1:21" x14ac:dyDescent="0.25">
      <c r="Q60" s="1"/>
      <c r="R60" s="1"/>
      <c r="S60" s="1"/>
      <c r="T60" s="1"/>
      <c r="U60" s="1"/>
    </row>
    <row r="61" spans="1:21" x14ac:dyDescent="0.25">
      <c r="Q61" s="1"/>
      <c r="R61" s="1"/>
      <c r="S61" s="1"/>
      <c r="T61" s="1"/>
      <c r="U61" s="1"/>
    </row>
    <row r="62" spans="1:21" x14ac:dyDescent="0.25">
      <c r="Q62" s="1"/>
      <c r="R62" s="1"/>
      <c r="S62" s="1"/>
      <c r="T62" s="1"/>
      <c r="U62" s="1"/>
    </row>
    <row r="63" spans="1:21" x14ac:dyDescent="0.25">
      <c r="Q63" s="1"/>
      <c r="R63" s="1"/>
      <c r="S63" s="1"/>
      <c r="T63" s="1"/>
      <c r="U63" s="1"/>
    </row>
    <row r="64" spans="1:21" x14ac:dyDescent="0.25">
      <c r="Q64" s="1"/>
      <c r="R64" s="1"/>
      <c r="S64" s="1"/>
      <c r="T64" s="1"/>
      <c r="U64" s="1"/>
    </row>
    <row r="65" spans="17:21" x14ac:dyDescent="0.25">
      <c r="Q65" s="1"/>
      <c r="R65" s="1"/>
      <c r="S65" s="1"/>
      <c r="T65" s="1"/>
      <c r="U65" s="1"/>
    </row>
    <row r="66" spans="17:21" x14ac:dyDescent="0.25">
      <c r="Q66" s="1"/>
      <c r="R66" s="1"/>
      <c r="S66" s="1"/>
      <c r="T66" s="1"/>
      <c r="U66" s="1"/>
    </row>
    <row r="67" spans="17:21" x14ac:dyDescent="0.25">
      <c r="Q67" s="1"/>
      <c r="R67" s="1"/>
      <c r="S67" s="1"/>
      <c r="T67" s="1"/>
      <c r="U67" s="1"/>
    </row>
    <row r="68" spans="17:21" x14ac:dyDescent="0.25">
      <c r="Q68" s="1"/>
      <c r="R68" s="1"/>
      <c r="S68" s="1"/>
      <c r="T68" s="1"/>
      <c r="U68" s="1"/>
    </row>
    <row r="69" spans="17:21" x14ac:dyDescent="0.25">
      <c r="Q69" s="1"/>
      <c r="R69" s="1"/>
      <c r="S69" s="1"/>
      <c r="T69" s="1"/>
      <c r="U69" s="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DF5A-EF7B-471C-8A08-DD11FD729500}">
  <dimension ref="A1:G56"/>
  <sheetViews>
    <sheetView workbookViewId="0">
      <selection activeCell="A2" sqref="A2:F56"/>
    </sheetView>
  </sheetViews>
  <sheetFormatPr defaultColWidth="11.42578125" defaultRowHeight="15" x14ac:dyDescent="0.25"/>
  <sheetData>
    <row r="1" spans="1:7" x14ac:dyDescent="0.25">
      <c r="A1" t="s">
        <v>1008</v>
      </c>
      <c r="B1" t="s">
        <v>1001</v>
      </c>
      <c r="C1" t="s">
        <v>1003</v>
      </c>
      <c r="D1" t="s">
        <v>981</v>
      </c>
      <c r="E1" t="s">
        <v>1004</v>
      </c>
      <c r="F1" t="s">
        <v>1009</v>
      </c>
    </row>
    <row r="2" spans="1:7" x14ac:dyDescent="0.25">
      <c r="A2">
        <v>1</v>
      </c>
      <c r="B2">
        <v>1</v>
      </c>
      <c r="C2">
        <v>1</v>
      </c>
      <c r="D2" t="s">
        <v>955</v>
      </c>
      <c r="E2">
        <v>1</v>
      </c>
      <c r="F2" t="s">
        <v>1010</v>
      </c>
      <c r="G2" t="s">
        <v>666</v>
      </c>
    </row>
    <row r="3" spans="1:7" x14ac:dyDescent="0.25">
      <c r="A3">
        <v>1</v>
      </c>
      <c r="B3">
        <v>2</v>
      </c>
      <c r="C3">
        <v>1</v>
      </c>
      <c r="D3" t="s">
        <v>955</v>
      </c>
      <c r="E3">
        <v>1</v>
      </c>
      <c r="F3" t="s">
        <v>1011</v>
      </c>
      <c r="G3" t="s">
        <v>522</v>
      </c>
    </row>
    <row r="4" spans="1:7" x14ac:dyDescent="0.25">
      <c r="A4">
        <v>1</v>
      </c>
      <c r="B4">
        <v>3</v>
      </c>
      <c r="C4">
        <v>1</v>
      </c>
      <c r="D4" t="s">
        <v>955</v>
      </c>
      <c r="E4">
        <v>1</v>
      </c>
      <c r="F4" t="s">
        <v>1012</v>
      </c>
      <c r="G4" t="s">
        <v>523</v>
      </c>
    </row>
    <row r="5" spans="1:7" x14ac:dyDescent="0.25">
      <c r="A5">
        <v>1</v>
      </c>
      <c r="B5">
        <v>4</v>
      </c>
      <c r="C5">
        <v>1</v>
      </c>
      <c r="D5" t="s">
        <v>955</v>
      </c>
      <c r="E5">
        <v>1</v>
      </c>
      <c r="F5" t="s">
        <v>1013</v>
      </c>
      <c r="G5" t="s">
        <v>667</v>
      </c>
    </row>
    <row r="6" spans="1:7" x14ac:dyDescent="0.25">
      <c r="A6">
        <v>1</v>
      </c>
      <c r="B6">
        <v>5</v>
      </c>
      <c r="C6">
        <v>1</v>
      </c>
      <c r="D6" t="s">
        <v>955</v>
      </c>
      <c r="E6">
        <v>1</v>
      </c>
      <c r="F6">
        <v>0</v>
      </c>
      <c r="G6" t="s">
        <v>680</v>
      </c>
    </row>
    <row r="7" spans="1:7" x14ac:dyDescent="0.25">
      <c r="A7">
        <v>1</v>
      </c>
      <c r="B7">
        <v>6</v>
      </c>
      <c r="C7">
        <v>1</v>
      </c>
      <c r="D7" t="s">
        <v>955</v>
      </c>
      <c r="E7">
        <v>1</v>
      </c>
      <c r="F7">
        <v>0</v>
      </c>
      <c r="G7" t="s">
        <v>524</v>
      </c>
    </row>
    <row r="8" spans="1:7" x14ac:dyDescent="0.25">
      <c r="A8">
        <v>1</v>
      </c>
      <c r="B8">
        <v>7</v>
      </c>
      <c r="C8">
        <v>1</v>
      </c>
      <c r="D8" t="s">
        <v>955</v>
      </c>
      <c r="E8">
        <v>1</v>
      </c>
      <c r="F8" t="s">
        <v>1014</v>
      </c>
      <c r="G8" t="s">
        <v>526</v>
      </c>
    </row>
    <row r="9" spans="1:7" x14ac:dyDescent="0.25">
      <c r="A9">
        <v>1</v>
      </c>
      <c r="B9">
        <v>8</v>
      </c>
      <c r="C9">
        <v>1</v>
      </c>
      <c r="D9" t="s">
        <v>955</v>
      </c>
      <c r="E9">
        <v>1</v>
      </c>
      <c r="F9" t="s">
        <v>1034</v>
      </c>
      <c r="G9" t="s">
        <v>672</v>
      </c>
    </row>
    <row r="10" spans="1:7" x14ac:dyDescent="0.25">
      <c r="A10">
        <v>1</v>
      </c>
      <c r="B10">
        <v>9</v>
      </c>
      <c r="C10">
        <v>1</v>
      </c>
      <c r="D10" t="s">
        <v>955</v>
      </c>
      <c r="E10">
        <v>1</v>
      </c>
      <c r="F10" t="s">
        <v>1039</v>
      </c>
      <c r="G10" t="s">
        <v>673</v>
      </c>
    </row>
    <row r="11" spans="1:7" x14ac:dyDescent="0.25">
      <c r="A11">
        <v>1</v>
      </c>
      <c r="B11">
        <v>10</v>
      </c>
      <c r="C11">
        <v>1</v>
      </c>
      <c r="D11" t="s">
        <v>955</v>
      </c>
      <c r="E11">
        <v>1</v>
      </c>
      <c r="F11" t="s">
        <v>1035</v>
      </c>
      <c r="G11" t="s">
        <v>982</v>
      </c>
    </row>
    <row r="12" spans="1:7" x14ac:dyDescent="0.25">
      <c r="A12">
        <v>1</v>
      </c>
      <c r="B12">
        <v>11</v>
      </c>
      <c r="C12">
        <v>1</v>
      </c>
      <c r="D12" t="s">
        <v>955</v>
      </c>
      <c r="E12">
        <v>1</v>
      </c>
      <c r="F12" t="s">
        <v>1036</v>
      </c>
      <c r="G12" t="s">
        <v>983</v>
      </c>
    </row>
    <row r="13" spans="1:7" x14ac:dyDescent="0.25">
      <c r="A13">
        <v>1</v>
      </c>
      <c r="B13">
        <v>12</v>
      </c>
      <c r="C13">
        <v>1</v>
      </c>
      <c r="D13" t="s">
        <v>955</v>
      </c>
      <c r="E13">
        <v>1</v>
      </c>
      <c r="F13" t="s">
        <v>1037</v>
      </c>
      <c r="G13" t="s">
        <v>984</v>
      </c>
    </row>
    <row r="14" spans="1:7" x14ac:dyDescent="0.25">
      <c r="A14">
        <v>1</v>
      </c>
      <c r="B14">
        <v>13</v>
      </c>
      <c r="C14">
        <v>1</v>
      </c>
      <c r="D14" t="s">
        <v>955</v>
      </c>
      <c r="E14">
        <v>1</v>
      </c>
      <c r="F14" t="s">
        <v>1038</v>
      </c>
      <c r="G14" t="s">
        <v>985</v>
      </c>
    </row>
    <row r="15" spans="1:7" x14ac:dyDescent="0.25">
      <c r="A15">
        <v>1</v>
      </c>
      <c r="B15">
        <v>14</v>
      </c>
      <c r="C15">
        <v>1</v>
      </c>
      <c r="D15" t="s">
        <v>955</v>
      </c>
      <c r="E15">
        <v>1</v>
      </c>
      <c r="F15" t="s">
        <v>1024</v>
      </c>
      <c r="G15" t="s">
        <v>674</v>
      </c>
    </row>
    <row r="16" spans="1:7" x14ac:dyDescent="0.25">
      <c r="A16">
        <v>1</v>
      </c>
      <c r="B16">
        <v>15</v>
      </c>
      <c r="C16">
        <v>1</v>
      </c>
      <c r="D16" t="s">
        <v>955</v>
      </c>
      <c r="E16">
        <v>1</v>
      </c>
      <c r="F16" t="s">
        <v>1015</v>
      </c>
      <c r="G16" t="s">
        <v>542</v>
      </c>
    </row>
    <row r="17" spans="1:7" x14ac:dyDescent="0.25">
      <c r="A17">
        <v>1</v>
      </c>
      <c r="B17">
        <v>16</v>
      </c>
      <c r="C17">
        <v>1</v>
      </c>
      <c r="D17" t="s">
        <v>955</v>
      </c>
      <c r="E17">
        <v>1</v>
      </c>
      <c r="F17" s="13" t="s">
        <v>1029</v>
      </c>
      <c r="G17" t="s">
        <v>959</v>
      </c>
    </row>
    <row r="18" spans="1:7" x14ac:dyDescent="0.25">
      <c r="A18">
        <v>1</v>
      </c>
      <c r="B18">
        <v>17</v>
      </c>
      <c r="C18">
        <v>1</v>
      </c>
      <c r="D18" t="s">
        <v>955</v>
      </c>
      <c r="E18">
        <v>1</v>
      </c>
      <c r="F18" t="s">
        <v>1031</v>
      </c>
      <c r="G18" t="s">
        <v>675</v>
      </c>
    </row>
    <row r="19" spans="1:7" x14ac:dyDescent="0.25">
      <c r="A19">
        <v>1</v>
      </c>
      <c r="B19">
        <v>18</v>
      </c>
      <c r="C19">
        <v>1</v>
      </c>
      <c r="D19" t="s">
        <v>955</v>
      </c>
      <c r="E19">
        <v>1</v>
      </c>
      <c r="F19" t="s">
        <v>1031</v>
      </c>
      <c r="G19" t="s">
        <v>670</v>
      </c>
    </row>
    <row r="20" spans="1:7" x14ac:dyDescent="0.25">
      <c r="A20">
        <v>1</v>
      </c>
      <c r="B20">
        <v>19</v>
      </c>
      <c r="C20">
        <v>1</v>
      </c>
      <c r="D20" t="s">
        <v>955</v>
      </c>
      <c r="E20">
        <v>1</v>
      </c>
      <c r="F20" t="s">
        <v>1032</v>
      </c>
      <c r="G20" t="s">
        <v>907</v>
      </c>
    </row>
    <row r="21" spans="1:7" x14ac:dyDescent="0.25">
      <c r="A21">
        <v>1</v>
      </c>
      <c r="B21">
        <v>20</v>
      </c>
      <c r="C21">
        <v>1</v>
      </c>
      <c r="D21" t="s">
        <v>955</v>
      </c>
      <c r="E21">
        <v>1</v>
      </c>
      <c r="F21" t="s">
        <v>1016</v>
      </c>
      <c r="G21" t="s">
        <v>671</v>
      </c>
    </row>
    <row r="22" spans="1:7" x14ac:dyDescent="0.25">
      <c r="A22">
        <v>1</v>
      </c>
      <c r="B22">
        <v>21</v>
      </c>
      <c r="C22">
        <v>1</v>
      </c>
      <c r="D22" t="s">
        <v>955</v>
      </c>
      <c r="E22">
        <v>1</v>
      </c>
      <c r="F22" t="s">
        <v>1030</v>
      </c>
      <c r="G22" t="s">
        <v>525</v>
      </c>
    </row>
    <row r="23" spans="1:7" x14ac:dyDescent="0.25">
      <c r="A23">
        <v>1</v>
      </c>
      <c r="B23">
        <v>22</v>
      </c>
      <c r="C23">
        <v>1</v>
      </c>
      <c r="D23" t="s">
        <v>955</v>
      </c>
      <c r="E23">
        <v>1</v>
      </c>
      <c r="F23">
        <v>0.1</v>
      </c>
      <c r="G23" t="s">
        <v>909</v>
      </c>
    </row>
    <row r="24" spans="1:7" x14ac:dyDescent="0.25">
      <c r="A24">
        <v>1</v>
      </c>
      <c r="B24">
        <v>23</v>
      </c>
      <c r="C24">
        <v>1</v>
      </c>
      <c r="D24" t="s">
        <v>955</v>
      </c>
      <c r="E24">
        <v>1</v>
      </c>
      <c r="F24" t="s">
        <v>1045</v>
      </c>
      <c r="G24" t="s">
        <v>911</v>
      </c>
    </row>
    <row r="25" spans="1:7" x14ac:dyDescent="0.25">
      <c r="A25">
        <v>1</v>
      </c>
      <c r="B25">
        <v>24</v>
      </c>
      <c r="C25">
        <v>1</v>
      </c>
      <c r="D25" t="s">
        <v>955</v>
      </c>
      <c r="E25">
        <v>1</v>
      </c>
      <c r="F25" t="s">
        <v>1046</v>
      </c>
      <c r="G25" t="s">
        <v>914</v>
      </c>
    </row>
    <row r="26" spans="1:7" x14ac:dyDescent="0.25">
      <c r="A26">
        <v>1</v>
      </c>
      <c r="B26">
        <v>25</v>
      </c>
      <c r="C26">
        <v>1</v>
      </c>
      <c r="D26" t="s">
        <v>955</v>
      </c>
      <c r="E26">
        <v>1</v>
      </c>
      <c r="F26" t="s">
        <v>1047</v>
      </c>
      <c r="G26" t="s">
        <v>916</v>
      </c>
    </row>
    <row r="27" spans="1:7" x14ac:dyDescent="0.25">
      <c r="A27">
        <v>1</v>
      </c>
      <c r="B27">
        <v>26</v>
      </c>
      <c r="C27">
        <v>1</v>
      </c>
      <c r="D27" t="s">
        <v>955</v>
      </c>
      <c r="E27">
        <v>1</v>
      </c>
      <c r="F27">
        <v>0</v>
      </c>
      <c r="G27" t="s">
        <v>917</v>
      </c>
    </row>
    <row r="28" spans="1:7" x14ac:dyDescent="0.25">
      <c r="A28">
        <v>1</v>
      </c>
      <c r="B28">
        <v>27</v>
      </c>
      <c r="C28">
        <v>1</v>
      </c>
      <c r="D28" t="s">
        <v>955</v>
      </c>
      <c r="E28">
        <v>1</v>
      </c>
      <c r="F28">
        <v>0</v>
      </c>
      <c r="G28" t="s">
        <v>977</v>
      </c>
    </row>
    <row r="29" spans="1:7" x14ac:dyDescent="0.25">
      <c r="A29">
        <v>1</v>
      </c>
      <c r="B29">
        <v>28</v>
      </c>
      <c r="C29">
        <v>1</v>
      </c>
      <c r="D29" t="s">
        <v>955</v>
      </c>
      <c r="E29">
        <v>1</v>
      </c>
      <c r="F29" t="s">
        <v>1044</v>
      </c>
      <c r="G29" t="s">
        <v>975</v>
      </c>
    </row>
    <row r="30" spans="1:7" x14ac:dyDescent="0.25">
      <c r="A30">
        <v>1</v>
      </c>
      <c r="B30">
        <v>29</v>
      </c>
      <c r="C30">
        <v>0</v>
      </c>
      <c r="D30" t="s">
        <v>970</v>
      </c>
      <c r="E30">
        <v>0</v>
      </c>
      <c r="F30">
        <v>0</v>
      </c>
      <c r="G30" t="s">
        <v>969</v>
      </c>
    </row>
    <row r="31" spans="1:7" x14ac:dyDescent="0.25">
      <c r="A31">
        <v>1</v>
      </c>
      <c r="B31">
        <v>30</v>
      </c>
      <c r="C31">
        <v>0</v>
      </c>
      <c r="D31" t="s">
        <v>955</v>
      </c>
      <c r="E31">
        <v>0</v>
      </c>
      <c r="F31" t="s">
        <v>1048</v>
      </c>
      <c r="G31" t="s">
        <v>668</v>
      </c>
    </row>
    <row r="32" spans="1:7" x14ac:dyDescent="0.25">
      <c r="A32">
        <v>1</v>
      </c>
      <c r="B32">
        <v>31</v>
      </c>
      <c r="C32">
        <v>0</v>
      </c>
      <c r="D32" t="s">
        <v>955</v>
      </c>
      <c r="E32">
        <v>0</v>
      </c>
      <c r="F32" t="s">
        <v>1040</v>
      </c>
      <c r="G32" t="s">
        <v>669</v>
      </c>
    </row>
    <row r="33" spans="1:7" x14ac:dyDescent="0.25">
      <c r="A33">
        <v>1</v>
      </c>
      <c r="B33">
        <v>32</v>
      </c>
      <c r="C33">
        <v>0</v>
      </c>
      <c r="D33" t="s">
        <v>955</v>
      </c>
      <c r="E33">
        <v>0</v>
      </c>
      <c r="F33" t="s">
        <v>1017</v>
      </c>
      <c r="G33" t="s">
        <v>532</v>
      </c>
    </row>
    <row r="34" spans="1:7" x14ac:dyDescent="0.25">
      <c r="A34">
        <v>1</v>
      </c>
      <c r="B34">
        <v>33</v>
      </c>
      <c r="C34">
        <v>0</v>
      </c>
      <c r="D34" t="s">
        <v>955</v>
      </c>
      <c r="E34">
        <v>0</v>
      </c>
      <c r="F34">
        <v>0</v>
      </c>
      <c r="G34" t="s">
        <v>681</v>
      </c>
    </row>
    <row r="35" spans="1:7" x14ac:dyDescent="0.25">
      <c r="A35">
        <v>1</v>
      </c>
      <c r="B35">
        <v>34</v>
      </c>
      <c r="C35">
        <v>0</v>
      </c>
      <c r="D35" t="s">
        <v>955</v>
      </c>
      <c r="E35">
        <v>0</v>
      </c>
      <c r="F35">
        <v>0</v>
      </c>
      <c r="G35" t="s">
        <v>682</v>
      </c>
    </row>
    <row r="36" spans="1:7" x14ac:dyDescent="0.25">
      <c r="A36">
        <v>1</v>
      </c>
      <c r="B36">
        <v>35</v>
      </c>
      <c r="C36">
        <v>0</v>
      </c>
      <c r="D36" t="s">
        <v>955</v>
      </c>
      <c r="E36">
        <v>0</v>
      </c>
      <c r="F36">
        <v>0</v>
      </c>
      <c r="G36" t="s">
        <v>539</v>
      </c>
    </row>
    <row r="37" spans="1:7" x14ac:dyDescent="0.25">
      <c r="A37">
        <v>1</v>
      </c>
      <c r="B37">
        <v>36</v>
      </c>
      <c r="C37">
        <v>0</v>
      </c>
      <c r="D37" t="s">
        <v>955</v>
      </c>
      <c r="E37">
        <v>0</v>
      </c>
      <c r="F37">
        <v>0</v>
      </c>
      <c r="G37" t="s">
        <v>683</v>
      </c>
    </row>
    <row r="38" spans="1:7" x14ac:dyDescent="0.25">
      <c r="A38">
        <v>1</v>
      </c>
      <c r="B38">
        <v>37</v>
      </c>
      <c r="C38">
        <v>0</v>
      </c>
      <c r="D38" t="s">
        <v>955</v>
      </c>
      <c r="E38">
        <v>0</v>
      </c>
      <c r="F38" t="s">
        <v>1018</v>
      </c>
      <c r="G38" t="s">
        <v>534</v>
      </c>
    </row>
    <row r="39" spans="1:7" x14ac:dyDescent="0.25">
      <c r="A39">
        <v>1</v>
      </c>
      <c r="B39">
        <v>38</v>
      </c>
      <c r="C39">
        <v>0</v>
      </c>
      <c r="D39" t="s">
        <v>955</v>
      </c>
      <c r="E39">
        <v>0</v>
      </c>
      <c r="F39" t="s">
        <v>1019</v>
      </c>
      <c r="G39" t="s">
        <v>918</v>
      </c>
    </row>
    <row r="40" spans="1:7" x14ac:dyDescent="0.25">
      <c r="A40">
        <v>1</v>
      </c>
      <c r="B40">
        <v>39</v>
      </c>
      <c r="C40">
        <v>0</v>
      </c>
      <c r="D40" t="s">
        <v>955</v>
      </c>
      <c r="E40">
        <v>0</v>
      </c>
      <c r="F40" t="s">
        <v>1020</v>
      </c>
      <c r="G40" t="s">
        <v>920</v>
      </c>
    </row>
    <row r="41" spans="1:7" x14ac:dyDescent="0.25">
      <c r="A41">
        <v>1</v>
      </c>
      <c r="B41">
        <v>40</v>
      </c>
      <c r="C41">
        <v>0</v>
      </c>
      <c r="D41" t="s">
        <v>955</v>
      </c>
      <c r="E41">
        <v>0</v>
      </c>
      <c r="F41" t="s">
        <v>1021</v>
      </c>
      <c r="G41" t="s">
        <v>531</v>
      </c>
    </row>
    <row r="42" spans="1:7" x14ac:dyDescent="0.25">
      <c r="A42">
        <v>1</v>
      </c>
      <c r="B42">
        <v>41</v>
      </c>
      <c r="C42">
        <v>1</v>
      </c>
      <c r="D42" t="s">
        <v>955</v>
      </c>
      <c r="E42">
        <v>0</v>
      </c>
      <c r="F42" t="s">
        <v>1024</v>
      </c>
      <c r="G42" t="s">
        <v>963</v>
      </c>
    </row>
    <row r="43" spans="1:7" x14ac:dyDescent="0.25">
      <c r="A43">
        <v>1</v>
      </c>
      <c r="B43">
        <v>42</v>
      </c>
      <c r="C43">
        <v>1</v>
      </c>
      <c r="D43" t="s">
        <v>955</v>
      </c>
      <c r="E43">
        <v>0</v>
      </c>
      <c r="F43" t="s">
        <v>1015</v>
      </c>
      <c r="G43" t="s">
        <v>965</v>
      </c>
    </row>
    <row r="44" spans="1:7" x14ac:dyDescent="0.25">
      <c r="A44">
        <v>1</v>
      </c>
      <c r="B44">
        <v>43</v>
      </c>
      <c r="C44">
        <v>1</v>
      </c>
      <c r="D44" t="s">
        <v>955</v>
      </c>
      <c r="E44">
        <v>0</v>
      </c>
      <c r="F44" t="s">
        <v>1014</v>
      </c>
      <c r="G44" t="s">
        <v>967</v>
      </c>
    </row>
    <row r="45" spans="1:7" x14ac:dyDescent="0.25">
      <c r="A45">
        <v>1</v>
      </c>
      <c r="B45">
        <v>44</v>
      </c>
      <c r="C45">
        <v>0</v>
      </c>
      <c r="D45" t="s">
        <v>970</v>
      </c>
      <c r="E45">
        <v>0</v>
      </c>
      <c r="F45">
        <v>0</v>
      </c>
      <c r="G45" t="s">
        <v>538</v>
      </c>
    </row>
    <row r="46" spans="1:7" x14ac:dyDescent="0.25">
      <c r="A46">
        <v>1</v>
      </c>
      <c r="B46">
        <v>45</v>
      </c>
      <c r="C46">
        <v>0</v>
      </c>
      <c r="D46" t="s">
        <v>970</v>
      </c>
      <c r="E46">
        <v>0</v>
      </c>
      <c r="F46" t="s">
        <v>1033</v>
      </c>
      <c r="G46" t="s">
        <v>533</v>
      </c>
    </row>
    <row r="47" spans="1:7" x14ac:dyDescent="0.25">
      <c r="A47">
        <v>1</v>
      </c>
      <c r="B47">
        <v>46</v>
      </c>
      <c r="C47">
        <v>0</v>
      </c>
      <c r="D47" t="s">
        <v>970</v>
      </c>
      <c r="E47">
        <v>0</v>
      </c>
      <c r="F47" t="s">
        <v>1022</v>
      </c>
      <c r="G47" t="s">
        <v>529</v>
      </c>
    </row>
    <row r="48" spans="1:7" x14ac:dyDescent="0.25">
      <c r="A48">
        <v>1</v>
      </c>
      <c r="B48">
        <v>47</v>
      </c>
      <c r="C48">
        <v>0</v>
      </c>
      <c r="D48" t="s">
        <v>970</v>
      </c>
      <c r="E48">
        <v>0</v>
      </c>
      <c r="F48" t="s">
        <v>1023</v>
      </c>
      <c r="G48" t="s">
        <v>530</v>
      </c>
    </row>
    <row r="49" spans="1:7" x14ac:dyDescent="0.25">
      <c r="A49">
        <v>1</v>
      </c>
      <c r="B49">
        <v>48</v>
      </c>
      <c r="C49">
        <v>0</v>
      </c>
      <c r="D49" t="s">
        <v>970</v>
      </c>
      <c r="E49">
        <v>0</v>
      </c>
      <c r="F49" t="s">
        <v>1024</v>
      </c>
      <c r="G49" t="s">
        <v>510</v>
      </c>
    </row>
    <row r="50" spans="1:7" x14ac:dyDescent="0.25">
      <c r="A50">
        <v>1</v>
      </c>
      <c r="B50">
        <v>49</v>
      </c>
      <c r="C50">
        <v>0</v>
      </c>
      <c r="D50" t="s">
        <v>970</v>
      </c>
      <c r="E50">
        <v>0</v>
      </c>
      <c r="F50" t="s">
        <v>1025</v>
      </c>
      <c r="G50" t="s">
        <v>540</v>
      </c>
    </row>
    <row r="51" spans="1:7" x14ac:dyDescent="0.25">
      <c r="A51">
        <v>1</v>
      </c>
      <c r="B51">
        <v>50</v>
      </c>
      <c r="C51">
        <v>0</v>
      </c>
      <c r="D51" t="s">
        <v>955</v>
      </c>
      <c r="E51">
        <v>0</v>
      </c>
      <c r="F51" t="s">
        <v>1032</v>
      </c>
      <c r="G51" t="s">
        <v>54</v>
      </c>
    </row>
    <row r="52" spans="1:7" x14ac:dyDescent="0.25">
      <c r="A52">
        <v>1</v>
      </c>
      <c r="B52">
        <v>51</v>
      </c>
      <c r="C52">
        <v>0</v>
      </c>
      <c r="D52" t="s">
        <v>970</v>
      </c>
      <c r="E52">
        <v>0</v>
      </c>
      <c r="F52" t="s">
        <v>1026</v>
      </c>
      <c r="G52" t="s">
        <v>535</v>
      </c>
    </row>
    <row r="53" spans="1:7" x14ac:dyDescent="0.25">
      <c r="A53">
        <v>1</v>
      </c>
      <c r="B53">
        <v>52</v>
      </c>
      <c r="C53">
        <v>0</v>
      </c>
      <c r="D53" t="s">
        <v>970</v>
      </c>
      <c r="E53">
        <v>0</v>
      </c>
      <c r="F53" t="s">
        <v>1027</v>
      </c>
      <c r="G53" t="s">
        <v>537</v>
      </c>
    </row>
    <row r="54" spans="1:7" x14ac:dyDescent="0.25">
      <c r="A54">
        <v>1</v>
      </c>
      <c r="B54">
        <v>53</v>
      </c>
      <c r="C54">
        <v>0</v>
      </c>
      <c r="D54" t="s">
        <v>970</v>
      </c>
      <c r="E54">
        <v>0</v>
      </c>
      <c r="F54" t="s">
        <v>1028</v>
      </c>
      <c r="G54" t="s">
        <v>536</v>
      </c>
    </row>
    <row r="55" spans="1:7" x14ac:dyDescent="0.25">
      <c r="A55">
        <v>1</v>
      </c>
      <c r="B55">
        <v>54</v>
      </c>
      <c r="C55">
        <v>0</v>
      </c>
      <c r="D55" t="s">
        <v>970</v>
      </c>
      <c r="E55">
        <v>0</v>
      </c>
      <c r="F55" t="s">
        <v>1043</v>
      </c>
      <c r="G55" t="s">
        <v>1042</v>
      </c>
    </row>
    <row r="56" spans="1:7" x14ac:dyDescent="0.25">
      <c r="A56">
        <v>1</v>
      </c>
      <c r="B56">
        <v>55</v>
      </c>
      <c r="C56">
        <v>0</v>
      </c>
      <c r="D56" t="s">
        <v>970</v>
      </c>
      <c r="E56">
        <v>0</v>
      </c>
      <c r="F56">
        <v>0</v>
      </c>
      <c r="G56" t="s">
        <v>1041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process</vt:lpstr>
      <vt:lpstr>general</vt:lpstr>
      <vt:lpstr>bioreactors</vt:lpstr>
      <vt:lpstr>organisms</vt:lpstr>
      <vt:lpstr>BBI_ED</vt:lpstr>
      <vt:lpstr>Model Properties</vt:lpstr>
      <vt:lpstr>Modes</vt:lpstr>
      <vt:lpstr>Assisting properties</vt:lpstr>
      <vt:lpstr>all variables</vt:lpstr>
      <vt:lpstr>CategoryTab</vt:lpstr>
      <vt:lpstr>Bacillus properties</vt:lpstr>
      <vt:lpstr>Process Tables</vt:lpstr>
      <vt:lpstr>Plot Variables</vt:lpstr>
      <vt:lpstr>variable_handling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Yuma Iff</dc:creator>
  <cp:lastModifiedBy>Iff, Yuma</cp:lastModifiedBy>
  <dcterms:created xsi:type="dcterms:W3CDTF">2015-06-05T18:19:34Z</dcterms:created>
  <dcterms:modified xsi:type="dcterms:W3CDTF">2024-11-19T19:29:41Z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2024-05-06T21:48:27Z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68b1ec9b-ff8e-47fa-9855-f7078e42059c</vt:lpwstr>
  </property>
  <property fmtid="{D5CDD505-2E9C-101B-9397-08002B2CF9AE}" pid="8" name="MSIP_Label_defa4170-0d19-0005-0004-bc88714345d2_ContentBits">
    <vt:lpwstr>0</vt:lpwstr>
  </property>
</Properties>
</file>